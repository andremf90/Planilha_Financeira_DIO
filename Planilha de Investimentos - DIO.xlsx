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0d093413a1179fb/Área de Trabalho/"/>
    </mc:Choice>
  </mc:AlternateContent>
  <xr:revisionPtr revIDLastSave="23" documentId="11_AD4D361C20488DEA4E38A0EB24DD7EBE5ADEDD97" xr6:coauthVersionLast="47" xr6:coauthVersionMax="47" xr10:uidLastSave="{B5F6B6C0-E590-4BFD-BD87-9417D99E8F8A}"/>
  <bookViews>
    <workbookView xWindow="-108" yWindow="-108" windowWidth="23256" windowHeight="12456" tabRatio="594" xr2:uid="{00000000-000D-0000-FFFF-FFFF00000000}"/>
  </bookViews>
  <sheets>
    <sheet name="Planilha Principal" sheetId="1" r:id="rId1"/>
    <sheet name="Planilha de Apoio" sheetId="2" r:id="rId2"/>
  </sheets>
  <definedNames>
    <definedName name="Aporte">'Planilha Principal'!$C$10</definedName>
    <definedName name="patrim_acum">'Planilha Principal'!$C$13</definedName>
    <definedName name="prazo_investimento">'Planilha Principal'!$C$11</definedName>
    <definedName name="Rendimento_Carteira">'Planilha Principal'!$C$6</definedName>
    <definedName name="rentabilidade">'Planilha Principal'!$C$12</definedName>
    <definedName name="Salario">'Planilha Principal'!$C$5</definedName>
    <definedName name="Sugest_invest">'Planilha Principal'!$C$7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1" l="1"/>
  <c r="C31" i="1"/>
  <c r="C32" i="1"/>
  <c r="D32" i="1" s="1"/>
  <c r="C33" i="1"/>
  <c r="D33" i="1" s="1"/>
  <c r="C34" i="1"/>
  <c r="C35" i="1"/>
  <c r="C30" i="1"/>
  <c r="C27" i="1"/>
  <c r="C19" i="1"/>
  <c r="D19" i="1" s="1"/>
  <c r="C20" i="1"/>
  <c r="D20" i="1" s="1"/>
  <c r="C21" i="1"/>
  <c r="D21" i="1" s="1"/>
  <c r="C22" i="1"/>
  <c r="D22" i="1" s="1"/>
  <c r="C18" i="1"/>
  <c r="D18" i="1" s="1"/>
  <c r="C13" i="1"/>
  <c r="C14" i="1" s="1"/>
  <c r="D34" i="1" l="1"/>
  <c r="D31" i="1"/>
  <c r="D30" i="1"/>
  <c r="D35" i="1" l="1"/>
  <c r="D36" i="1" s="1"/>
  <c r="C36" i="1"/>
</calcChain>
</file>

<file path=xl/sharedStrings.xml><?xml version="1.0" encoding="utf-8"?>
<sst xmlns="http://schemas.openxmlformats.org/spreadsheetml/2006/main" count="89" uniqueCount="55">
  <si>
    <t>Quanto investir por mês ?</t>
  </si>
  <si>
    <t>Por quantos anos ?</t>
  </si>
  <si>
    <t>Qual a taxa de rendimento mensal ?</t>
  </si>
  <si>
    <t>Quanto de patrimônio vai acumular ?</t>
  </si>
  <si>
    <t>Quanto vai receber de dividendos por mês ?</t>
  </si>
  <si>
    <t>Salário</t>
  </si>
  <si>
    <t>APORTES MENSAIS</t>
  </si>
  <si>
    <t>Qual vai ser meu patrimonio daqui 2 anos?</t>
  </si>
  <si>
    <t>Qual vai ser meu patrimonio daqui 5 anos?</t>
  </si>
  <si>
    <t>Qual vai ser meu patrimonio daqui 10 anos?</t>
  </si>
  <si>
    <t>Qual vai ser meu patrimonio daqui 20 anos?</t>
  </si>
  <si>
    <t>Qual vai ser meu patrimonio daqui 30 anos?</t>
  </si>
  <si>
    <t>CENÁRIOS</t>
  </si>
  <si>
    <t>DIVIDENDOS</t>
  </si>
  <si>
    <t>Configurações</t>
  </si>
  <si>
    <t>$$$$$   AFX INVEST   $$$$$</t>
  </si>
  <si>
    <t>Rendimento da Carteira</t>
  </si>
  <si>
    <t>Sugestão de Investimento</t>
  </si>
  <si>
    <t>Perfil</t>
  </si>
  <si>
    <t>Agressivo</t>
  </si>
  <si>
    <t>Conservador</t>
  </si>
  <si>
    <t>Moderado</t>
  </si>
  <si>
    <t>Tipo de Perfil do Investidor</t>
  </si>
  <si>
    <t>Valor a ser aportado mesalmente</t>
  </si>
  <si>
    <t>Tipo de Fundo de Investimento</t>
  </si>
  <si>
    <t>% Sugerido</t>
  </si>
  <si>
    <t>Valores</t>
  </si>
  <si>
    <t>Papel</t>
  </si>
  <si>
    <t>Tijolo</t>
  </si>
  <si>
    <t>Híbrido</t>
  </si>
  <si>
    <t>FOF's</t>
  </si>
  <si>
    <t>Desenvolvimento</t>
  </si>
  <si>
    <t>Hotelarias</t>
  </si>
  <si>
    <t>TOTAL</t>
  </si>
  <si>
    <t>Tipo de FII</t>
  </si>
  <si>
    <t>Percentual</t>
  </si>
  <si>
    <t>Conservador - Papel</t>
  </si>
  <si>
    <t>Conservador - Tijolo</t>
  </si>
  <si>
    <t>Conservador - Híbrido</t>
  </si>
  <si>
    <t>Conservador - FOF's</t>
  </si>
  <si>
    <t>Conservador - Desenvolvimento</t>
  </si>
  <si>
    <t>Conservador - Hotelarias</t>
  </si>
  <si>
    <t>Chave</t>
  </si>
  <si>
    <t>Moderado - Papel</t>
  </si>
  <si>
    <t>Moderado - Tijolo</t>
  </si>
  <si>
    <t>Moderado - Híbrido</t>
  </si>
  <si>
    <t>Moderado - FOF's</t>
  </si>
  <si>
    <t>Moderado - Desenvolvimento</t>
  </si>
  <si>
    <t>Moderado - Hotelarias</t>
  </si>
  <si>
    <t>Agressivo - Papel</t>
  </si>
  <si>
    <t>Agressivo - Tijolo</t>
  </si>
  <si>
    <t>Agressivo - Híbrido</t>
  </si>
  <si>
    <t>Agressivo - FOF's</t>
  </si>
  <si>
    <t>Agressivo - Desenvolvimento</t>
  </si>
  <si>
    <t>Agressivo - Hotelarias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</si>
</sst>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48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theme="0" tint="-0.14996795556505021"/>
      </right>
      <top style="medium">
        <color indexed="64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 style="medium">
        <color indexed="64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/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indexed="64"/>
      </right>
      <top/>
      <bottom style="medium">
        <color theme="0" tint="-4.9989318521683403E-2"/>
      </bottom>
      <diagonal/>
    </border>
    <border>
      <left style="medium">
        <color indexed="64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indexed="64"/>
      </left>
      <right style="medium">
        <color theme="0" tint="-4.9989318521683403E-2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theme="0" tint="-4.9989318521683403E-2"/>
      </left>
      <right style="medium">
        <color indexed="64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indexed="64"/>
      </left>
      <right style="medium">
        <color theme="0" tint="-4.9989318521683403E-2"/>
      </right>
      <top style="medium">
        <color indexed="64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indexed="64"/>
      </right>
      <top style="medium">
        <color indexed="64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indexed="64"/>
      </top>
      <bottom style="medium">
        <color theme="0" tint="-4.9989318521683403E-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Protection="1">
      <protection locked="0"/>
    </xf>
    <xf numFmtId="164" fontId="0" fillId="0" borderId="4" xfId="1" applyNumberFormat="1" applyFont="1" applyBorder="1" applyProtection="1">
      <protection locked="0"/>
    </xf>
    <xf numFmtId="0" fontId="0" fillId="0" borderId="6" xfId="0" applyBorder="1" applyProtection="1">
      <protection locked="0"/>
    </xf>
    <xf numFmtId="10" fontId="0" fillId="0" borderId="8" xfId="2" applyNumberFormat="1" applyFont="1" applyBorder="1" applyProtection="1">
      <protection locked="0"/>
    </xf>
    <xf numFmtId="0" fontId="3" fillId="0" borderId="0" xfId="0" applyFont="1" applyProtection="1">
      <protection locked="0"/>
    </xf>
    <xf numFmtId="8" fontId="0" fillId="0" borderId="0" xfId="0" applyNumberFormat="1" applyProtection="1">
      <protection locked="0"/>
    </xf>
    <xf numFmtId="0" fontId="2" fillId="0" borderId="3" xfId="0" applyFont="1" applyBorder="1" applyAlignment="1" applyProtection="1">
      <alignment horizontal="left" indent="1"/>
      <protection locked="0"/>
    </xf>
    <xf numFmtId="0" fontId="2" fillId="0" borderId="5" xfId="0" applyFont="1" applyBorder="1" applyAlignment="1" applyProtection="1">
      <alignment horizontal="left" indent="1"/>
      <protection locked="0"/>
    </xf>
    <xf numFmtId="0" fontId="2" fillId="0" borderId="7" xfId="0" applyFont="1" applyBorder="1" applyAlignment="1" applyProtection="1">
      <alignment horizontal="left" indent="1"/>
      <protection locked="0"/>
    </xf>
    <xf numFmtId="0" fontId="0" fillId="0" borderId="0" xfId="0" applyAlignment="1" applyProtection="1">
      <alignment horizontal="left" indent="1"/>
      <protection locked="0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0" fontId="2" fillId="3" borderId="14" xfId="0" applyFont="1" applyFill="1" applyBorder="1" applyAlignment="1" applyProtection="1">
      <alignment horizontal="left" indent="1"/>
      <protection locked="0"/>
    </xf>
    <xf numFmtId="0" fontId="2" fillId="3" borderId="15" xfId="0" applyFont="1" applyFill="1" applyBorder="1" applyAlignment="1" applyProtection="1">
      <alignment horizontal="left" indent="1"/>
      <protection locked="0"/>
    </xf>
    <xf numFmtId="0" fontId="2" fillId="3" borderId="18" xfId="0" applyFont="1" applyFill="1" applyBorder="1" applyAlignment="1" applyProtection="1">
      <alignment horizontal="left" indent="1"/>
      <protection locked="0"/>
    </xf>
    <xf numFmtId="8" fontId="2" fillId="3" borderId="19" xfId="0" applyNumberFormat="1" applyFont="1" applyFill="1" applyBorder="1"/>
    <xf numFmtId="8" fontId="2" fillId="3" borderId="17" xfId="0" applyNumberFormat="1" applyFont="1" applyFill="1" applyBorder="1"/>
    <xf numFmtId="164" fontId="0" fillId="0" borderId="22" xfId="0" applyNumberFormat="1" applyBorder="1" applyProtection="1">
      <protection locked="0"/>
    </xf>
    <xf numFmtId="9" fontId="0" fillId="0" borderId="6" xfId="2" applyFont="1" applyBorder="1" applyProtection="1">
      <protection locked="0"/>
    </xf>
    <xf numFmtId="0" fontId="2" fillId="0" borderId="21" xfId="0" applyFont="1" applyBorder="1" applyAlignment="1" applyProtection="1">
      <alignment horizontal="left" indent="1"/>
      <protection locked="0"/>
    </xf>
    <xf numFmtId="0" fontId="0" fillId="0" borderId="0" xfId="0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4" fillId="4" borderId="10" xfId="0" applyFont="1" applyFill="1" applyBorder="1" applyAlignment="1" applyProtection="1">
      <alignment horizontal="center" vertical="center"/>
      <protection locked="0"/>
    </xf>
    <xf numFmtId="164" fontId="2" fillId="0" borderId="0" xfId="3" applyNumberFormat="1" applyFont="1" applyProtection="1">
      <protection locked="0"/>
    </xf>
    <xf numFmtId="9" fontId="0" fillId="0" borderId="0" xfId="2" applyFont="1" applyAlignment="1" applyProtection="1">
      <alignment horizontal="center"/>
      <protection locked="0"/>
    </xf>
    <xf numFmtId="0" fontId="2" fillId="3" borderId="0" xfId="0" applyFont="1" applyFill="1" applyAlignment="1" applyProtection="1">
      <alignment horizontal="center"/>
      <protection locked="0"/>
    </xf>
    <xf numFmtId="0" fontId="2" fillId="3" borderId="0" xfId="0" applyFont="1" applyFill="1" applyAlignment="1" applyProtection="1">
      <alignment horizontal="right"/>
      <protection locked="0"/>
    </xf>
    <xf numFmtId="9" fontId="2" fillId="3" borderId="0" xfId="0" applyNumberFormat="1" applyFont="1" applyFill="1" applyAlignment="1" applyProtection="1">
      <alignment horizontal="center"/>
      <protection locked="0"/>
    </xf>
    <xf numFmtId="164" fontId="0" fillId="0" borderId="0" xfId="3" applyNumberFormat="1" applyFont="1" applyAlignment="1" applyProtection="1">
      <alignment horizontal="center"/>
      <protection locked="0"/>
    </xf>
    <xf numFmtId="164" fontId="2" fillId="3" borderId="0" xfId="0" applyNumberFormat="1" applyFont="1" applyFill="1" applyAlignment="1" applyProtection="1">
      <alignment horizontal="center"/>
      <protection locked="0"/>
    </xf>
    <xf numFmtId="9" fontId="0" fillId="0" borderId="0" xfId="2" applyFont="1"/>
    <xf numFmtId="8" fontId="0" fillId="3" borderId="23" xfId="0" applyNumberFormat="1" applyFill="1" applyBorder="1" applyAlignment="1" applyProtection="1">
      <alignment horizontal="center"/>
      <protection locked="0"/>
    </xf>
    <xf numFmtId="8" fontId="0" fillId="3" borderId="19" xfId="0" applyNumberFormat="1" applyFill="1" applyBorder="1" applyAlignment="1" applyProtection="1">
      <alignment horizontal="center"/>
      <protection locked="0"/>
    </xf>
    <xf numFmtId="8" fontId="0" fillId="3" borderId="12" xfId="0" applyNumberFormat="1" applyFill="1" applyBorder="1" applyAlignment="1" applyProtection="1">
      <alignment horizontal="center"/>
      <protection locked="0"/>
    </xf>
    <xf numFmtId="8" fontId="0" fillId="3" borderId="13" xfId="0" applyNumberFormat="1" applyFill="1" applyBorder="1" applyAlignment="1" applyProtection="1">
      <alignment horizontal="center"/>
      <protection locked="0"/>
    </xf>
    <xf numFmtId="8" fontId="0" fillId="3" borderId="16" xfId="0" applyNumberFormat="1" applyFill="1" applyBorder="1" applyAlignment="1" applyProtection="1">
      <alignment horizontal="center"/>
      <protection locked="0"/>
    </xf>
    <xf numFmtId="8" fontId="0" fillId="3" borderId="20" xfId="0" applyNumberFormat="1" applyFill="1" applyBorder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2" xfId="0" applyFont="1" applyFill="1" applyBorder="1" applyAlignment="1" applyProtection="1">
      <alignment horizontal="center" vertical="center"/>
      <protection locked="0"/>
    </xf>
    <xf numFmtId="0" fontId="4" fillId="2" borderId="9" xfId="0" applyFont="1" applyFill="1" applyBorder="1" applyAlignment="1" applyProtection="1">
      <alignment horizontal="center" vertical="center"/>
      <protection locked="0"/>
    </xf>
    <xf numFmtId="0" fontId="4" fillId="2" borderId="11" xfId="0" applyFont="1" applyFill="1" applyBorder="1" applyAlignment="1" applyProtection="1">
      <alignment horizontal="center" vertical="center"/>
      <protection locked="0"/>
    </xf>
    <xf numFmtId="0" fontId="4" fillId="4" borderId="1" xfId="0" applyFont="1" applyFill="1" applyBorder="1" applyAlignment="1" applyProtection="1">
      <alignment horizontal="center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center" vertical="center"/>
      <protection locked="0"/>
    </xf>
  </cellXfs>
  <cellStyles count="4">
    <cellStyle name="Moeda" xfId="3" builtinId="4"/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'Planilha Principal'!$C$29</c:f>
              <c:strCache>
                <c:ptCount val="1"/>
                <c:pt idx="0">
                  <c:v>%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FB7-4E2E-BC14-7102441F8082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FB7-4E2E-BC14-7102441F8082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B7-4E2E-BC14-7102441F808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CFB7-4E2E-BC14-7102441F8082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FB7-4E2E-BC14-7102441F8082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CFB7-4E2E-BC14-7102441F80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'Planilha Principal'!$B$30:$B$35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FOF's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'Planilha Principal'!$C$30:$C$35</c:f>
              <c:numCache>
                <c:formatCode>0%</c:formatCode>
                <c:ptCount val="6"/>
                <c:pt idx="0">
                  <c:v>0.25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B7-4E2E-BC14-7102441F808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213360</xdr:colOff>
      <xdr:row>21</xdr:row>
      <xdr:rowOff>167640</xdr:rowOff>
    </xdr:from>
    <xdr:to>
      <xdr:col>7</xdr:col>
      <xdr:colOff>525780</xdr:colOff>
      <xdr:row>36</xdr:row>
      <xdr:rowOff>68580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ECA3068-7093-57A7-B27D-758FC28B7B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showGridLines="0" tabSelected="1" topLeftCell="A11" workbookViewId="0">
      <selection activeCell="C30" sqref="C30"/>
    </sheetView>
  </sheetViews>
  <sheetFormatPr defaultColWidth="0" defaultRowHeight="14.4" zeroHeight="1" x14ac:dyDescent="0.3"/>
  <cols>
    <col min="1" max="1" width="4.5546875" style="1" customWidth="1"/>
    <col min="2" max="2" width="39.21875" style="1" customWidth="1"/>
    <col min="3" max="3" width="17.21875" style="1" customWidth="1"/>
    <col min="4" max="4" width="18.109375" style="1" customWidth="1"/>
    <col min="5" max="5" width="17.5546875" style="1" bestFit="1" customWidth="1"/>
    <col min="6" max="6" width="20.77734375" style="1" customWidth="1"/>
    <col min="7" max="7" width="13.109375" style="1" customWidth="1"/>
    <col min="8" max="8" width="12.109375" style="1" customWidth="1"/>
    <col min="9" max="11" width="8.88671875" style="1" hidden="1" customWidth="1"/>
    <col min="12" max="16384" width="8.88671875" style="1" hidden="1"/>
  </cols>
  <sheetData>
    <row r="1" spans="2:7" x14ac:dyDescent="0.3"/>
    <row r="2" spans="2:7" ht="61.2" x14ac:dyDescent="0.3">
      <c r="B2" s="43" t="s">
        <v>15</v>
      </c>
      <c r="C2" s="43"/>
      <c r="D2" s="43"/>
      <c r="E2" s="43"/>
      <c r="F2" s="43"/>
      <c r="G2" s="43"/>
    </row>
    <row r="3" spans="2:7" ht="15" thickBot="1" x14ac:dyDescent="0.35"/>
    <row r="4" spans="2:7" ht="21.6" thickBot="1" x14ac:dyDescent="0.35">
      <c r="B4" s="41" t="s">
        <v>14</v>
      </c>
      <c r="C4" s="42"/>
    </row>
    <row r="5" spans="2:7" ht="15" thickBot="1" x14ac:dyDescent="0.35">
      <c r="B5" s="7" t="s">
        <v>5</v>
      </c>
      <c r="C5" s="2">
        <v>5000</v>
      </c>
    </row>
    <row r="6" spans="2:7" ht="15" thickBot="1" x14ac:dyDescent="0.35">
      <c r="B6" s="8" t="s">
        <v>16</v>
      </c>
      <c r="C6" s="18">
        <v>6.0000000000000001E-3</v>
      </c>
    </row>
    <row r="7" spans="2:7" ht="15" thickBot="1" x14ac:dyDescent="0.35">
      <c r="B7" s="19" t="s">
        <v>17</v>
      </c>
      <c r="C7" s="17">
        <f>Salario*0.3</f>
        <v>1500</v>
      </c>
    </row>
    <row r="8" spans="2:7" ht="15" thickBot="1" x14ac:dyDescent="0.35"/>
    <row r="9" spans="2:7" ht="22.8" customHeight="1" thickBot="1" x14ac:dyDescent="0.35">
      <c r="B9" s="37" t="s">
        <v>6</v>
      </c>
      <c r="C9" s="38"/>
    </row>
    <row r="10" spans="2:7" ht="15" thickBot="1" x14ac:dyDescent="0.35">
      <c r="B10" s="7" t="s">
        <v>0</v>
      </c>
      <c r="C10" s="2">
        <v>500</v>
      </c>
    </row>
    <row r="11" spans="2:7" ht="15" thickBot="1" x14ac:dyDescent="0.35">
      <c r="B11" s="8" t="s">
        <v>1</v>
      </c>
      <c r="C11" s="3">
        <v>5</v>
      </c>
    </row>
    <row r="12" spans="2:7" ht="15" thickBot="1" x14ac:dyDescent="0.35">
      <c r="B12" s="9" t="s">
        <v>2</v>
      </c>
      <c r="C12" s="4">
        <v>1.0789999999999999E-2</v>
      </c>
    </row>
    <row r="13" spans="2:7" ht="15" thickBot="1" x14ac:dyDescent="0.35">
      <c r="B13" s="14" t="s">
        <v>3</v>
      </c>
      <c r="C13" s="15">
        <f>-FV(rentabilidade,prazo_investimento*12,Aporte)</f>
        <v>41888.456999243819</v>
      </c>
    </row>
    <row r="14" spans="2:7" ht="15" thickBot="1" x14ac:dyDescent="0.35">
      <c r="B14" s="13" t="s">
        <v>4</v>
      </c>
      <c r="C14" s="16">
        <f>patrim_acum*Rendimento_Carteira</f>
        <v>251.33074199546292</v>
      </c>
    </row>
    <row r="15" spans="2:7" x14ac:dyDescent="0.3">
      <c r="B15" s="10"/>
    </row>
    <row r="16" spans="2:7" ht="15" thickBot="1" x14ac:dyDescent="0.35">
      <c r="B16" s="10"/>
    </row>
    <row r="17" spans="1:4" ht="21.6" thickBot="1" x14ac:dyDescent="0.35">
      <c r="B17" s="39" t="s">
        <v>12</v>
      </c>
      <c r="C17" s="40"/>
      <c r="D17" s="11" t="s">
        <v>13</v>
      </c>
    </row>
    <row r="18" spans="1:4" ht="15" thickBot="1" x14ac:dyDescent="0.35">
      <c r="A18" s="5">
        <v>2</v>
      </c>
      <c r="B18" s="14" t="s">
        <v>7</v>
      </c>
      <c r="C18" s="31">
        <f>-FV(rentabilidade,(A18*12),Aporte)</f>
        <v>13613.813648822608</v>
      </c>
      <c r="D18" s="32">
        <f>C18*Rendimento_Carteira</f>
        <v>81.682881892935654</v>
      </c>
    </row>
    <row r="19" spans="1:4" ht="15" thickBot="1" x14ac:dyDescent="0.35">
      <c r="A19" s="5">
        <v>5</v>
      </c>
      <c r="B19" s="12" t="s">
        <v>8</v>
      </c>
      <c r="C19" s="33">
        <f>-FV(rentabilidade,(A19*12),Aporte)</f>
        <v>41888.456999243819</v>
      </c>
      <c r="D19" s="34">
        <f>C19*Rendimento_Carteira</f>
        <v>251.33074199546292</v>
      </c>
    </row>
    <row r="20" spans="1:4" ht="15" thickBot="1" x14ac:dyDescent="0.35">
      <c r="A20" s="5">
        <v>10</v>
      </c>
      <c r="B20" s="12" t="s">
        <v>9</v>
      </c>
      <c r="C20" s="33">
        <f>-FV(rentabilidade,(A20*12),Aporte)</f>
        <v>121642.1062650861</v>
      </c>
      <c r="D20" s="34">
        <f>C20*Rendimento_Carteira</f>
        <v>729.85263759051657</v>
      </c>
    </row>
    <row r="21" spans="1:4" ht="15" thickBot="1" x14ac:dyDescent="0.35">
      <c r="A21" s="5">
        <v>20</v>
      </c>
      <c r="B21" s="12" t="s">
        <v>10</v>
      </c>
      <c r="C21" s="33">
        <f>-FV(rentabilidade,(A21*12),Aporte)</f>
        <v>562599.20004854025</v>
      </c>
      <c r="D21" s="34">
        <f>C21*Rendimento_Carteira</f>
        <v>3375.5952002912418</v>
      </c>
    </row>
    <row r="22" spans="1:4" ht="15" thickBot="1" x14ac:dyDescent="0.35">
      <c r="A22" s="5">
        <v>30</v>
      </c>
      <c r="B22" s="13" t="s">
        <v>11</v>
      </c>
      <c r="C22" s="35">
        <f>-FV(rentabilidade,(A22*12),Aporte)</f>
        <v>2161084.8275023573</v>
      </c>
      <c r="D22" s="36">
        <f>C22*Rendimento_Carteira</f>
        <v>12966.508965014144</v>
      </c>
    </row>
    <row r="23" spans="1:4" x14ac:dyDescent="0.3">
      <c r="C23" s="6"/>
    </row>
    <row r="24" spans="1:4" x14ac:dyDescent="0.3"/>
    <row r="25" spans="1:4" ht="15" thickBot="1" x14ac:dyDescent="0.35"/>
    <row r="26" spans="1:4" ht="21" x14ac:dyDescent="0.3">
      <c r="B26" s="22" t="s">
        <v>22</v>
      </c>
      <c r="C26" s="22" t="s">
        <v>19</v>
      </c>
    </row>
    <row r="27" spans="1:4" x14ac:dyDescent="0.3">
      <c r="B27" s="21" t="s">
        <v>23</v>
      </c>
      <c r="C27" s="23">
        <f>Aporte</f>
        <v>500</v>
      </c>
    </row>
    <row r="28" spans="1:4" x14ac:dyDescent="0.3"/>
    <row r="29" spans="1:4" x14ac:dyDescent="0.3">
      <c r="B29" s="25" t="s">
        <v>24</v>
      </c>
      <c r="C29" s="25" t="s">
        <v>25</v>
      </c>
      <c r="D29" s="25" t="s">
        <v>26</v>
      </c>
    </row>
    <row r="30" spans="1:4" x14ac:dyDescent="0.3">
      <c r="B30" s="20" t="s">
        <v>27</v>
      </c>
      <c r="C30" s="24">
        <f>VLOOKUP(CONCATENATE($C$26," - ",B30),'Planilha de Apoio'!B:E,4,0)</f>
        <v>0.25</v>
      </c>
      <c r="D30" s="28">
        <f>$C$27*C30</f>
        <v>125</v>
      </c>
    </row>
    <row r="31" spans="1:4" x14ac:dyDescent="0.3">
      <c r="B31" s="20" t="s">
        <v>28</v>
      </c>
      <c r="C31" s="24">
        <f>VLOOKUP(CONCATENATE($C$26," - ",B31),'Planilha de Apoio'!B:E,4,0)</f>
        <v>0.15</v>
      </c>
      <c r="D31" s="28">
        <f t="shared" ref="D31:D35" si="0">$C$27*C31</f>
        <v>75</v>
      </c>
    </row>
    <row r="32" spans="1:4" x14ac:dyDescent="0.3">
      <c r="B32" s="20" t="s">
        <v>29</v>
      </c>
      <c r="C32" s="24">
        <f>VLOOKUP(CONCATENATE($C$26," - ",B32),'Planilha de Apoio'!B:E,4,0)</f>
        <v>0.15</v>
      </c>
      <c r="D32" s="28">
        <f t="shared" si="0"/>
        <v>75</v>
      </c>
    </row>
    <row r="33" spans="2:4" x14ac:dyDescent="0.3">
      <c r="B33" s="20" t="s">
        <v>30</v>
      </c>
      <c r="C33" s="24">
        <f>VLOOKUP(CONCATENATE($C$26," - ",B33),'Planilha de Apoio'!B:E,4,0)</f>
        <v>0.15</v>
      </c>
      <c r="D33" s="28">
        <f t="shared" si="0"/>
        <v>75</v>
      </c>
    </row>
    <row r="34" spans="2:4" x14ac:dyDescent="0.3">
      <c r="B34" s="20" t="s">
        <v>31</v>
      </c>
      <c r="C34" s="24">
        <f>VLOOKUP(CONCATENATE($C$26," - ",B34),'Planilha de Apoio'!B:E,4,0)</f>
        <v>0.15</v>
      </c>
      <c r="D34" s="28">
        <f t="shared" si="0"/>
        <v>75</v>
      </c>
    </row>
    <row r="35" spans="2:4" x14ac:dyDescent="0.3">
      <c r="B35" s="20" t="s">
        <v>32</v>
      </c>
      <c r="C35" s="24">
        <f>VLOOKUP(CONCATENATE($C$26," - ",B35),'Planilha de Apoio'!B:E,4,0)</f>
        <v>0.15</v>
      </c>
      <c r="D35" s="28">
        <f t="shared" si="0"/>
        <v>75</v>
      </c>
    </row>
    <row r="36" spans="2:4" x14ac:dyDescent="0.3">
      <c r="B36" s="26" t="s">
        <v>33</v>
      </c>
      <c r="C36" s="27">
        <f>SUM(C30:C35)</f>
        <v>1</v>
      </c>
      <c r="D36" s="29">
        <f>SUM(D30:D35)</f>
        <v>500</v>
      </c>
    </row>
    <row r="37" spans="2:4" x14ac:dyDescent="0.3"/>
    <row r="38" spans="2:4" x14ac:dyDescent="0.3"/>
    <row r="39" spans="2:4" ht="13.8" hidden="1" customHeight="1" x14ac:dyDescent="0.3"/>
    <row r="49" s="1" customFormat="1" hidden="1" x14ac:dyDescent="0.3"/>
    <row r="50" s="1" customFormat="1" hidden="1" x14ac:dyDescent="0.3"/>
    <row r="51" s="1" customFormat="1" hidden="1" x14ac:dyDescent="0.3"/>
    <row r="52" s="1" customFormat="1" hidden="1" x14ac:dyDescent="0.3"/>
    <row r="53" s="1" customFormat="1" hidden="1" x14ac:dyDescent="0.3"/>
    <row r="54" s="1" customFormat="1" hidden="1" x14ac:dyDescent="0.3"/>
    <row r="55" s="1" customFormat="1" hidden="1" x14ac:dyDescent="0.3"/>
    <row r="56" s="1" customFormat="1" hidden="1" x14ac:dyDescent="0.3"/>
    <row r="57" s="1" customFormat="1" hidden="1" x14ac:dyDescent="0.3"/>
    <row r="58" s="1" customFormat="1" hidden="1" x14ac:dyDescent="0.3"/>
    <row r="59" s="1" customFormat="1" hidden="1" x14ac:dyDescent="0.3"/>
    <row r="60" s="1" customFormat="1" hidden="1" x14ac:dyDescent="0.3"/>
    <row r="61" s="1" customFormat="1" hidden="1" x14ac:dyDescent="0.3"/>
    <row r="62" s="1" customFormat="1" hidden="1" x14ac:dyDescent="0.3"/>
    <row r="63" s="1" customFormat="1" hidden="1" x14ac:dyDescent="0.3"/>
    <row r="64" s="1" customFormat="1" hidden="1" x14ac:dyDescent="0.3"/>
    <row r="65" s="1" customFormat="1" hidden="1" x14ac:dyDescent="0.3"/>
    <row r="66" s="1" customFormat="1" hidden="1" x14ac:dyDescent="0.3"/>
    <row r="67" s="1" customFormat="1" hidden="1" x14ac:dyDescent="0.3"/>
    <row r="68" s="1" customFormat="1" hidden="1" x14ac:dyDescent="0.3"/>
    <row r="69" s="1" customFormat="1" hidden="1" x14ac:dyDescent="0.3"/>
    <row r="70" s="1" customFormat="1" hidden="1" x14ac:dyDescent="0.3"/>
    <row r="71" s="1" customFormat="1" hidden="1" x14ac:dyDescent="0.3"/>
    <row r="72" s="1" customFormat="1" hidden="1" x14ac:dyDescent="0.3"/>
    <row r="73" s="1" customFormat="1" hidden="1" x14ac:dyDescent="0.3"/>
    <row r="74" s="1" customFormat="1" hidden="1" x14ac:dyDescent="0.3"/>
    <row r="75" s="1" customFormat="1" hidden="1" x14ac:dyDescent="0.3"/>
  </sheetData>
  <mergeCells count="4">
    <mergeCell ref="B9:C9"/>
    <mergeCell ref="B17:C17"/>
    <mergeCell ref="B4:C4"/>
    <mergeCell ref="B2:G2"/>
  </mergeCells>
  <dataValidations count="1">
    <dataValidation type="list" allowBlank="1" showInputMessage="1" showErrorMessage="1" sqref="C26" xr:uid="{F3D3EDCC-BDB7-449A-AF3B-70E63282510B}">
      <formula1>"Conservador,Moderado,Agressivo"</formula1>
    </dataValidation>
  </dataValidations>
  <pageMargins left="0.7" right="0.7" top="0.75" bottom="0.75" header="0.3" footer="0.3"/>
  <pageSetup paperSize="9" orientation="portrait" r:id="rId1"/>
  <ignoredErrors>
    <ignoredError sqref="D18:D22 C18:C22 C27 D30:D35 C36:D36 C30:C35 C7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458C7-3C08-4AB6-804D-A8F5CD0F89B2}">
  <dimension ref="B2:E20"/>
  <sheetViews>
    <sheetView showGridLines="0" workbookViewId="0">
      <selection activeCell="E3" sqref="E3"/>
    </sheetView>
  </sheetViews>
  <sheetFormatPr defaultRowHeight="14.4" x14ac:dyDescent="0.3"/>
  <cols>
    <col min="2" max="2" width="27.44140625" bestFit="1" customWidth="1"/>
    <col min="3" max="3" width="11.33203125" bestFit="1" customWidth="1"/>
    <col min="4" max="4" width="15.21875" bestFit="1" customWidth="1"/>
    <col min="5" max="5" width="9.6640625" bestFit="1" customWidth="1"/>
  </cols>
  <sheetData>
    <row r="2" spans="2:5" x14ac:dyDescent="0.3">
      <c r="B2" t="s">
        <v>42</v>
      </c>
      <c r="C2" t="s">
        <v>18</v>
      </c>
      <c r="D2" t="s">
        <v>34</v>
      </c>
      <c r="E2" t="s">
        <v>35</v>
      </c>
    </row>
    <row r="3" spans="2:5" x14ac:dyDescent="0.3">
      <c r="B3" t="s">
        <v>36</v>
      </c>
      <c r="C3" t="s">
        <v>20</v>
      </c>
      <c r="D3" t="s">
        <v>27</v>
      </c>
      <c r="E3" s="30">
        <v>0.3</v>
      </c>
    </row>
    <row r="4" spans="2:5" x14ac:dyDescent="0.3">
      <c r="B4" t="s">
        <v>37</v>
      </c>
      <c r="C4" t="s">
        <v>20</v>
      </c>
      <c r="D4" t="s">
        <v>28</v>
      </c>
      <c r="E4" s="30">
        <v>0.5</v>
      </c>
    </row>
    <row r="5" spans="2:5" x14ac:dyDescent="0.3">
      <c r="B5" t="s">
        <v>38</v>
      </c>
      <c r="C5" t="s">
        <v>20</v>
      </c>
      <c r="D5" t="s">
        <v>29</v>
      </c>
      <c r="E5" s="30">
        <v>0.1</v>
      </c>
    </row>
    <row r="6" spans="2:5" x14ac:dyDescent="0.3">
      <c r="B6" t="s">
        <v>39</v>
      </c>
      <c r="C6" t="s">
        <v>20</v>
      </c>
      <c r="D6" t="s">
        <v>30</v>
      </c>
      <c r="E6" s="30">
        <v>0.1</v>
      </c>
    </row>
    <row r="7" spans="2:5" x14ac:dyDescent="0.3">
      <c r="B7" t="s">
        <v>40</v>
      </c>
      <c r="C7" t="s">
        <v>20</v>
      </c>
      <c r="D7" t="s">
        <v>31</v>
      </c>
      <c r="E7" s="30">
        <v>0</v>
      </c>
    </row>
    <row r="8" spans="2:5" x14ac:dyDescent="0.3">
      <c r="B8" t="s">
        <v>41</v>
      </c>
      <c r="C8" t="s">
        <v>20</v>
      </c>
      <c r="D8" t="s">
        <v>32</v>
      </c>
      <c r="E8" s="30">
        <v>0</v>
      </c>
    </row>
    <row r="9" spans="2:5" x14ac:dyDescent="0.3">
      <c r="B9" t="s">
        <v>43</v>
      </c>
      <c r="C9" t="s">
        <v>21</v>
      </c>
      <c r="D9" t="s">
        <v>27</v>
      </c>
      <c r="E9" s="30">
        <v>0.35</v>
      </c>
    </row>
    <row r="10" spans="2:5" x14ac:dyDescent="0.3">
      <c r="B10" t="s">
        <v>44</v>
      </c>
      <c r="C10" t="s">
        <v>21</v>
      </c>
      <c r="D10" t="s">
        <v>28</v>
      </c>
      <c r="E10" s="30">
        <v>0.3</v>
      </c>
    </row>
    <row r="11" spans="2:5" x14ac:dyDescent="0.3">
      <c r="B11" t="s">
        <v>45</v>
      </c>
      <c r="C11" t="s">
        <v>21</v>
      </c>
      <c r="D11" t="s">
        <v>29</v>
      </c>
      <c r="E11" s="30">
        <v>0.15</v>
      </c>
    </row>
    <row r="12" spans="2:5" x14ac:dyDescent="0.3">
      <c r="B12" t="s">
        <v>46</v>
      </c>
      <c r="C12" t="s">
        <v>21</v>
      </c>
      <c r="D12" t="s">
        <v>30</v>
      </c>
      <c r="E12" s="30">
        <v>0.1</v>
      </c>
    </row>
    <row r="13" spans="2:5" x14ac:dyDescent="0.3">
      <c r="B13" t="s">
        <v>47</v>
      </c>
      <c r="C13" t="s">
        <v>21</v>
      </c>
      <c r="D13" t="s">
        <v>31</v>
      </c>
      <c r="E13" s="30">
        <v>0.05</v>
      </c>
    </row>
    <row r="14" spans="2:5" x14ac:dyDescent="0.3">
      <c r="B14" t="s">
        <v>48</v>
      </c>
      <c r="C14" t="s">
        <v>21</v>
      </c>
      <c r="D14" t="s">
        <v>32</v>
      </c>
      <c r="E14" s="30">
        <v>0.05</v>
      </c>
    </row>
    <row r="15" spans="2:5" x14ac:dyDescent="0.3">
      <c r="B15" t="s">
        <v>49</v>
      </c>
      <c r="C15" t="s">
        <v>19</v>
      </c>
      <c r="D15" t="s">
        <v>27</v>
      </c>
      <c r="E15" s="30">
        <v>0.25</v>
      </c>
    </row>
    <row r="16" spans="2:5" x14ac:dyDescent="0.3">
      <c r="B16" t="s">
        <v>50</v>
      </c>
      <c r="C16" t="s">
        <v>19</v>
      </c>
      <c r="D16" t="s">
        <v>28</v>
      </c>
      <c r="E16" s="30">
        <v>0.15</v>
      </c>
    </row>
    <row r="17" spans="2:5" x14ac:dyDescent="0.3">
      <c r="B17" t="s">
        <v>51</v>
      </c>
      <c r="C17" t="s">
        <v>19</v>
      </c>
      <c r="D17" t="s">
        <v>29</v>
      </c>
      <c r="E17" s="30">
        <v>0.15</v>
      </c>
    </row>
    <row r="18" spans="2:5" x14ac:dyDescent="0.3">
      <c r="B18" t="s">
        <v>52</v>
      </c>
      <c r="C18" t="s">
        <v>19</v>
      </c>
      <c r="D18" t="s">
        <v>30</v>
      </c>
      <c r="E18" s="30">
        <v>0.15</v>
      </c>
    </row>
    <row r="19" spans="2:5" x14ac:dyDescent="0.3">
      <c r="B19" t="s">
        <v>53</v>
      </c>
      <c r="C19" t="s">
        <v>19</v>
      </c>
      <c r="D19" t="s">
        <v>31</v>
      </c>
      <c r="E19" s="30">
        <v>0.15</v>
      </c>
    </row>
    <row r="20" spans="2:5" x14ac:dyDescent="0.3">
      <c r="B20" t="s">
        <v>54</v>
      </c>
      <c r="C20" t="s">
        <v>19</v>
      </c>
      <c r="D20" t="s">
        <v>32</v>
      </c>
      <c r="E20" s="30">
        <v>0.15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Planilha Principal</vt:lpstr>
      <vt:lpstr>Planilha de Apoio</vt:lpstr>
      <vt:lpstr>Aporte</vt:lpstr>
      <vt:lpstr>patrim_acum</vt:lpstr>
      <vt:lpstr>prazo_investimento</vt:lpstr>
      <vt:lpstr>Rendimento_Carteira</vt:lpstr>
      <vt:lpstr>rentabilidade</vt:lpstr>
      <vt:lpstr>Salario</vt:lpstr>
      <vt:lpstr>Sugest_invest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Morais Fonseca</dc:creator>
  <cp:lastModifiedBy>André Morais Fonseca</cp:lastModifiedBy>
  <dcterms:created xsi:type="dcterms:W3CDTF">2015-06-05T18:19:34Z</dcterms:created>
  <dcterms:modified xsi:type="dcterms:W3CDTF">2026-10-13T19:23:42Z</dcterms:modified>
</cp:coreProperties>
</file>