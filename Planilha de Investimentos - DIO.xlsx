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0d093413a1179fb/Área de Trabalho/"/>
    </mc:Choice>
  </mc:AlternateContent>
  <xr:revisionPtr revIDLastSave="38" documentId="11_AD4D361C20488DEA4E38A0EB24DD7EBE5ADEDD97" xr6:coauthVersionLast="47" xr6:coauthVersionMax="47" xr10:uidLastSave="{7D1F7E54-8382-4677-AC95-0CA8B1DA072E}"/>
  <bookViews>
    <workbookView xWindow="-108" yWindow="-108" windowWidth="23256" windowHeight="12456" tabRatio="594" xr2:uid="{00000000-000D-0000-FFFF-FFFF00000000}"/>
  </bookViews>
  <sheets>
    <sheet name="Planilha Cenários" sheetId="1" r:id="rId1"/>
    <sheet name="Monte Sua Carteira" sheetId="3" r:id="rId2"/>
    <sheet name="Planilha de Apoio" sheetId="2" r:id="rId3"/>
  </sheets>
  <definedNames>
    <definedName name="_xlnm._FilterDatabase" localSheetId="0" hidden="1">'Planilha Cenários'!$C$27:$D$30</definedName>
    <definedName name="Aporte">'Planilha Cenários'!$D$13</definedName>
    <definedName name="patrim_acum">'Planilha Cenários'!$D$16</definedName>
    <definedName name="prazo_investimento">'Planilha Cenários'!$D$14</definedName>
    <definedName name="Rendimento_Carteira">'Planilha Cenários'!#REF!</definedName>
    <definedName name="rentabilidade">'Planilha Cenários'!$D$15</definedName>
    <definedName name="Salario">'Planilha Cenários'!$D$7</definedName>
    <definedName name="Sugest_invest">'Planilha Cenários'!$D$8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5" i="3" l="1"/>
  <c r="D21" i="1"/>
  <c r="E21" i="1" s="1"/>
  <c r="F502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3" i="3"/>
  <c r="F504" i="3"/>
  <c r="F505" i="3"/>
  <c r="F14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505" i="3"/>
  <c r="C14" i="3"/>
  <c r="D8" i="1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7" i="1" s="1"/>
  <c r="D33" i="1"/>
  <c r="D30" i="1"/>
  <c r="D22" i="1"/>
  <c r="E22" i="1" s="1"/>
  <c r="D23" i="1"/>
  <c r="E23" i="1" s="1"/>
  <c r="D24" i="1"/>
  <c r="E24" i="1" s="1"/>
  <c r="D25" i="1"/>
  <c r="E25" i="1" s="1"/>
  <c r="D16" i="1"/>
  <c r="D17" i="1" s="1"/>
  <c r="Q19" i="3" l="1"/>
  <c r="Q18" i="3"/>
  <c r="Q17" i="3"/>
  <c r="Q16" i="3"/>
  <c r="Q14" i="3"/>
  <c r="D36" i="1"/>
  <c r="E36" i="1" s="1"/>
  <c r="D34" i="1"/>
  <c r="E34" i="1" s="1"/>
  <c r="D35" i="1"/>
  <c r="E35" i="1" s="1"/>
  <c r="D38" i="1"/>
  <c r="E37" i="1"/>
  <c r="E33" i="1"/>
  <c r="Q20" i="3" l="1"/>
  <c r="E38" i="1"/>
  <c r="E39" i="1" s="1"/>
  <c r="D39" i="1"/>
</calcChain>
</file>

<file path=xl/sharedStrings.xml><?xml version="1.0" encoding="utf-8"?>
<sst xmlns="http://schemas.openxmlformats.org/spreadsheetml/2006/main" count="628" uniqueCount="252">
  <si>
    <t>Quanto investir por mês ?</t>
  </si>
  <si>
    <t>Por quantos anos ?</t>
  </si>
  <si>
    <t>Qual a taxa de rendimento mensal ?</t>
  </si>
  <si>
    <t>Quanto de patrimônio vai acumular ?</t>
  </si>
  <si>
    <t>Quanto vai receber de dividendos por mês ?</t>
  </si>
  <si>
    <t>APORTES MENSAIS</t>
  </si>
  <si>
    <t>Qual vai ser meu patrimonio daqui 2 anos?</t>
  </si>
  <si>
    <t>Qual vai ser meu patrimonio daqui 5 anos?</t>
  </si>
  <si>
    <t>Qual vai ser meu patrimonio daqui 10 anos?</t>
  </si>
  <si>
    <t>Qual vai ser meu patrimonio daqui 20 anos?</t>
  </si>
  <si>
    <t>Qual vai ser meu patrimonio daqui 30 anos?</t>
  </si>
  <si>
    <t>Configurações</t>
  </si>
  <si>
    <t>$$$$$   AFX INVEST   $$$$$</t>
  </si>
  <si>
    <t>Sugestão de Investimento</t>
  </si>
  <si>
    <t>Perfil</t>
  </si>
  <si>
    <t>Agressivo</t>
  </si>
  <si>
    <t>Conservador</t>
  </si>
  <si>
    <t>Moderado</t>
  </si>
  <si>
    <t>Tipo de Perfil do Investidor</t>
  </si>
  <si>
    <t>Valor a ser aportado mesalmente</t>
  </si>
  <si>
    <t>% Sugerido</t>
  </si>
  <si>
    <t>Valores</t>
  </si>
  <si>
    <t>TOTAL</t>
  </si>
  <si>
    <t>Percentual</t>
  </si>
  <si>
    <t>Chave</t>
  </si>
  <si>
    <t>CDB</t>
  </si>
  <si>
    <t>Ações</t>
  </si>
  <si>
    <t>FII's</t>
  </si>
  <si>
    <t>Criptomoedas</t>
  </si>
  <si>
    <t>ETF's</t>
  </si>
  <si>
    <t xml:space="preserve">Clique no campo indicado pela seta ao lado e escolha o que se encaixa melhor no seu perfil de investidor:     </t>
  </si>
  <si>
    <t>Tipo de Investimento</t>
  </si>
  <si>
    <t>Código</t>
  </si>
  <si>
    <t>ABCB4</t>
  </si>
  <si>
    <t>ABEV3</t>
  </si>
  <si>
    <t>AGRO3</t>
  </si>
  <si>
    <t>ALOS3</t>
  </si>
  <si>
    <t>ALPA4</t>
  </si>
  <si>
    <t>AMBP3</t>
  </si>
  <si>
    <t>ANIM3</t>
  </si>
  <si>
    <t>ASAI3</t>
  </si>
  <si>
    <t>AURE3</t>
  </si>
  <si>
    <t>AZUL4</t>
  </si>
  <si>
    <t>B3SA3</t>
  </si>
  <si>
    <t>BBAS3</t>
  </si>
  <si>
    <t>BBDC3</t>
  </si>
  <si>
    <t>BBDC4</t>
  </si>
  <si>
    <t>BBSE3</t>
  </si>
  <si>
    <t>BEEF3</t>
  </si>
  <si>
    <t>BHIA3</t>
  </si>
  <si>
    <t>BLAU3</t>
  </si>
  <si>
    <t>BMGB4</t>
  </si>
  <si>
    <t>BPAC11</t>
  </si>
  <si>
    <t>BRAP4</t>
  </si>
  <si>
    <t>BRAV3</t>
  </si>
  <si>
    <t>BRFS3</t>
  </si>
  <si>
    <t>BRKM5</t>
  </si>
  <si>
    <t>CAML3</t>
  </si>
  <si>
    <t>CASH3</t>
  </si>
  <si>
    <t>CBAV3</t>
  </si>
  <si>
    <t>CCRO3</t>
  </si>
  <si>
    <t>CEAB3</t>
  </si>
  <si>
    <t>CMIG4</t>
  </si>
  <si>
    <t>CMIN3</t>
  </si>
  <si>
    <t>COGN3</t>
  </si>
  <si>
    <t>CPFE3</t>
  </si>
  <si>
    <t>CPLE3</t>
  </si>
  <si>
    <t>CPLE6</t>
  </si>
  <si>
    <t>CRFB3</t>
  </si>
  <si>
    <t>CSAN3</t>
  </si>
  <si>
    <t>CSMG3</t>
  </si>
  <si>
    <t>CSNA3</t>
  </si>
  <si>
    <t>CVCB3</t>
  </si>
  <si>
    <t>CYRE3</t>
  </si>
  <si>
    <t>DIRR3</t>
  </si>
  <si>
    <t>ECOR3</t>
  </si>
  <si>
    <t>EGIE3</t>
  </si>
  <si>
    <t>ELET3</t>
  </si>
  <si>
    <t>ELET6</t>
  </si>
  <si>
    <t>EMBR3</t>
  </si>
  <si>
    <t>ENEV3</t>
  </si>
  <si>
    <t>ENGI11</t>
  </si>
  <si>
    <t>EQTL3</t>
  </si>
  <si>
    <t>EZTC3</t>
  </si>
  <si>
    <t>FLRY3</t>
  </si>
  <si>
    <t>GGBR4</t>
  </si>
  <si>
    <t>GOAU4</t>
  </si>
  <si>
    <t>HAPV3</t>
  </si>
  <si>
    <t>HYPE3</t>
  </si>
  <si>
    <t>IGTI11</t>
  </si>
  <si>
    <t>IRBR3</t>
  </si>
  <si>
    <t>ITSA4</t>
  </si>
  <si>
    <t>ITUB4</t>
  </si>
  <si>
    <t>JBSS3</t>
  </si>
  <si>
    <t>KLBN11</t>
  </si>
  <si>
    <t>LREN3</t>
  </si>
  <si>
    <t>LWSA3</t>
  </si>
  <si>
    <t>MGLU3</t>
  </si>
  <si>
    <t>MRFG3</t>
  </si>
  <si>
    <t>MRVE3</t>
  </si>
  <si>
    <t>MULT3</t>
  </si>
  <si>
    <t>NTCO3</t>
  </si>
  <si>
    <t>PETR3</t>
  </si>
  <si>
    <t>PETR4</t>
  </si>
  <si>
    <t>PETZ3</t>
  </si>
  <si>
    <t>PRIO3</t>
  </si>
  <si>
    <t>PSSA3</t>
  </si>
  <si>
    <t>RADL3</t>
  </si>
  <si>
    <t>RAIL3</t>
  </si>
  <si>
    <t>RAIZ4</t>
  </si>
  <si>
    <t>RENT3</t>
  </si>
  <si>
    <t>SANB11</t>
  </si>
  <si>
    <t>SBSP3</t>
  </si>
  <si>
    <t>SUZB3</t>
  </si>
  <si>
    <t>TAEE11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</si>
  <si>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</si>
  <si>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</si>
  <si>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</si>
  <si>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</si>
  <si>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</si>
  <si>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</si>
  <si>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</si>
  <si>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</si>
  <si>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VIVT3</t>
  </si>
  <si>
    <t>WEGE3</t>
  </si>
  <si>
    <t>YDUQ3</t>
  </si>
  <si>
    <t>A1AP34</t>
  </si>
  <si>
    <t>AAPL34</t>
  </si>
  <si>
    <t>AMGN34</t>
  </si>
  <si>
    <t>AMZO34</t>
  </si>
  <si>
    <t>BABA34</t>
  </si>
  <si>
    <t>BERK34</t>
  </si>
  <si>
    <t>DISB34</t>
  </si>
  <si>
    <t>GOGL34</t>
  </si>
  <si>
    <t>GOGL35</t>
  </si>
  <si>
    <t>JNJB34</t>
  </si>
  <si>
    <t>MELI34</t>
  </si>
  <si>
    <t>MSFT34</t>
  </si>
  <si>
    <t>NFLX34</t>
  </si>
  <si>
    <t>NVDC34</t>
  </si>
  <si>
    <t>ORCL34</t>
  </si>
  <si>
    <t>PEPB34</t>
  </si>
  <si>
    <t>TSLA34</t>
  </si>
  <si>
    <t>VISA34</t>
  </si>
  <si>
    <t>WALM34</t>
  </si>
  <si>
    <t>XPBR31</t>
  </si>
  <si>
    <t>B5P211</t>
  </si>
  <si>
    <t>BITI11</t>
  </si>
  <si>
    <t>BOVA11</t>
  </si>
  <si>
    <t>BOVB11</t>
  </si>
  <si>
    <t>BOVV11</t>
  </si>
  <si>
    <t>COIN11</t>
  </si>
  <si>
    <t>DEBB11</t>
  </si>
  <si>
    <t>DIVO11</t>
  </si>
  <si>
    <t>ECOO11</t>
  </si>
  <si>
    <t>ETHE11</t>
  </si>
  <si>
    <t>FIXA11</t>
  </si>
  <si>
    <t>GOLD11</t>
  </si>
  <si>
    <t>HASH11</t>
  </si>
  <si>
    <t>IMAB11</t>
  </si>
  <si>
    <t>IVVB11</t>
  </si>
  <si>
    <t>LFTB11</t>
  </si>
  <si>
    <t>LFTS11</t>
  </si>
  <si>
    <t>NASD11</t>
  </si>
  <si>
    <t>QBTC11</t>
  </si>
  <si>
    <t>SMAL11</t>
  </si>
  <si>
    <t>SPXI11</t>
  </si>
  <si>
    <t>TECK11</t>
  </si>
  <si>
    <t>XFIX11</t>
  </si>
  <si>
    <t>CPTR11</t>
  </si>
  <si>
    <t>FGAA11</t>
  </si>
  <si>
    <t>IAAG11</t>
  </si>
  <si>
    <t>JGPX11</t>
  </si>
  <si>
    <t>KNCA11</t>
  </si>
  <si>
    <t>RURA11</t>
  </si>
  <si>
    <t>SNAG11</t>
  </si>
  <si>
    <t>VGIA11</t>
  </si>
  <si>
    <t>BCFF11</t>
  </si>
  <si>
    <t>BRCO11</t>
  </si>
  <si>
    <t>BTLG11</t>
  </si>
  <si>
    <t>CPTS11</t>
  </si>
  <si>
    <t>HGLG11</t>
  </si>
  <si>
    <t>HGRE11</t>
  </si>
  <si>
    <t>HSML11</t>
  </si>
  <si>
    <t>IRDM11</t>
  </si>
  <si>
    <t>KNRI11</t>
  </si>
  <si>
    <t>KNSC11</t>
  </si>
  <si>
    <t>MALL11</t>
  </si>
  <si>
    <t>MXRF11</t>
  </si>
  <si>
    <t>PVBI11</t>
  </si>
  <si>
    <t>RBRF11</t>
  </si>
  <si>
    <t>RECT11</t>
  </si>
  <si>
    <t>TRXF11</t>
  </si>
  <si>
    <t>VGHF11</t>
  </si>
  <si>
    <t>VISC11</t>
  </si>
  <si>
    <t>XPLG11</t>
  </si>
  <si>
    <t>XPML11</t>
  </si>
  <si>
    <t>Ações Estrangeiras</t>
  </si>
  <si>
    <t>BTC</t>
  </si>
  <si>
    <t>ETH</t>
  </si>
  <si>
    <t>USDT</t>
  </si>
  <si>
    <t>BNB</t>
  </si>
  <si>
    <t>XRP</t>
  </si>
  <si>
    <t>USDC</t>
  </si>
  <si>
    <t>SOL</t>
  </si>
  <si>
    <t>TRX</t>
  </si>
  <si>
    <t>DOGE</t>
  </si>
  <si>
    <t>ADA</t>
  </si>
  <si>
    <t>LCA</t>
  </si>
  <si>
    <t>LCI</t>
  </si>
  <si>
    <t>Renda Fixa</t>
  </si>
  <si>
    <t>LC</t>
  </si>
  <si>
    <t>LF</t>
  </si>
  <si>
    <t>CRI</t>
  </si>
  <si>
    <t>CRA</t>
  </si>
  <si>
    <t>DEB</t>
  </si>
  <si>
    <t>NTN-B</t>
  </si>
  <si>
    <t>LTN</t>
  </si>
  <si>
    <t>LFT</t>
  </si>
  <si>
    <t>TESOURO</t>
  </si>
  <si>
    <t>SELIC</t>
  </si>
  <si>
    <t>PREFIXADO</t>
  </si>
  <si>
    <t>IPCA+</t>
  </si>
  <si>
    <t>RDB</t>
  </si>
  <si>
    <t>CARTEIRA RECOMENDADA COM BASE NO PERFIL ESCOLHIDO</t>
  </si>
  <si>
    <t>Tipos de Investimento</t>
  </si>
  <si>
    <t>SIMULAÇÃO DE CENÁRIOS</t>
  </si>
  <si>
    <t>DIVIDENDOS MENSAIS</t>
  </si>
  <si>
    <t>Investimento Realizado</t>
  </si>
  <si>
    <t>Quantidade</t>
  </si>
  <si>
    <t>Preço Unitário</t>
  </si>
  <si>
    <t>Valor Total</t>
  </si>
  <si>
    <t>AGORA QUE VOCÊ JÁ ENTENDEU MELHOR SOBRE O PODER DE SEUS INVESTIMENTOS NO LONGO PRAZO, E ESCOLHEU SEU TIPO DE PERFIL DE INVESTIDOR, VÁ PARA A ABA AO LADO EM "MONTE SUA CARTEIRA".</t>
  </si>
  <si>
    <t>3- Com base nas informações inseridas no quadro acima, veja uma projeção de quanto vai acumular e receber ao longo dos anos projetados.</t>
  </si>
  <si>
    <t>Obs: Sugerimos que use a taxa da Selic ou uma alguma taxa histórica que busque se aproximar da realidade.</t>
  </si>
  <si>
    <t>POMO4</t>
  </si>
  <si>
    <t>RECV3</t>
  </si>
  <si>
    <t>GGRC11</t>
  </si>
  <si>
    <t>ETHY11</t>
  </si>
  <si>
    <t>TOTAL INVESTIDO</t>
  </si>
  <si>
    <t>SUA CARTEIRA DE INVESTIMENTOS</t>
  </si>
  <si>
    <t>MONTE SUA PLANILHA !</t>
  </si>
  <si>
    <t>1- INSIRA AS INFORMAÇÕES DE SUAS COMPRAS REALIZADAS NOS CAMPOS "INVESTIMENTO REALIZADO", "QUANTIDADE" E "PREÇO UNITÁRIO"</t>
  </si>
  <si>
    <t>OBS1: QUANDO SE TRATAR DE UM APORTE DE RENDA FIXA, COLOQUE NO CAMPO DE VALOR UNITÁRIO SEMPRE 1.</t>
  </si>
  <si>
    <t>2- VERIFIQUE SE O TOTAL INVESTIDO ESTÁ BATENDO CONFORME QUADRO ''TOTAL INVESTIDO''</t>
  </si>
  <si>
    <t>3- COMPARE SE A SUA DISTRIBUIÇÃO EM CARTEIRA ESTÁ DE ACORDO COM O SEU PERFIL DE INVESTIDOR NA ABA "PLANILHA CENÁRIOS".</t>
  </si>
  <si>
    <t>OBS2: VOCÊ NÃO PRECISA SEGUIR A RISCA O PERFIL DE INVESTIDOR, É APENAS UMA SUGESTÃO.</t>
  </si>
  <si>
    <t>OBS3: CASO O ATIVO COMPRADO NÃO ESTEJA APARECENDO NA COLUNA "INVESTIMENTO REALIZADO", VOCÊ PODE INCLUÍ-LO NA ABA DA "PLANILHA DE APOIO".</t>
  </si>
  <si>
    <t>1- Informe abaixo seu salário líquido para ter a sugestão de investimentos:</t>
  </si>
  <si>
    <t>Salário Líquido</t>
  </si>
  <si>
    <t>2- Informe nos campos em branco abaixo quanto deseja aportar, por quanto tempo e a taxa de rendimentos mensal desejada.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</si>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</sst>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4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0"/>
      <color theme="0"/>
      <name val="Calibri"/>
      <family val="2"/>
    </font>
    <font>
      <sz val="8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/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/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indexed="64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9"/>
      </right>
      <top style="medium">
        <color indexed="64"/>
      </top>
      <bottom style="medium">
        <color theme="9"/>
      </bottom>
      <diagonal/>
    </border>
    <border>
      <left style="thin">
        <color theme="9"/>
      </left>
      <right style="medium">
        <color indexed="64"/>
      </right>
      <top style="medium">
        <color indexed="64"/>
      </top>
      <bottom style="medium">
        <color theme="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Protection="1">
      <protection locked="0"/>
    </xf>
    <xf numFmtId="164" fontId="0" fillId="0" borderId="4" xfId="1" applyNumberFormat="1" applyFont="1" applyBorder="1" applyProtection="1">
      <protection locked="0"/>
    </xf>
    <xf numFmtId="0" fontId="0" fillId="0" borderId="6" xfId="0" applyBorder="1" applyProtection="1">
      <protection locked="0"/>
    </xf>
    <xf numFmtId="10" fontId="0" fillId="0" borderId="8" xfId="2" applyNumberFormat="1" applyFont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9" fillId="4" borderId="0" xfId="0" applyFont="1" applyFill="1" applyBorder="1" applyAlignment="1" applyProtection="1">
      <alignment horizontal="center" vertical="center"/>
      <protection locked="0"/>
    </xf>
    <xf numFmtId="0" fontId="6" fillId="4" borderId="23" xfId="0" applyFont="1" applyFill="1" applyBorder="1" applyAlignment="1">
      <alignment horizontal="center"/>
    </xf>
    <xf numFmtId="0" fontId="0" fillId="0" borderId="0" xfId="0" applyProtection="1"/>
    <xf numFmtId="0" fontId="5" fillId="2" borderId="0" xfId="0" applyFont="1" applyFill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</xf>
    <xf numFmtId="0" fontId="4" fillId="4" borderId="2" xfId="0" applyFont="1" applyFill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left" indent="1"/>
    </xf>
    <xf numFmtId="0" fontId="2" fillId="0" borderId="5" xfId="0" applyFont="1" applyBorder="1" applyAlignment="1" applyProtection="1">
      <alignment horizontal="left" indent="1"/>
    </xf>
    <xf numFmtId="0" fontId="2" fillId="3" borderId="20" xfId="0" applyFont="1" applyFill="1" applyBorder="1" applyAlignment="1" applyProtection="1">
      <alignment horizontal="left" indent="1"/>
    </xf>
    <xf numFmtId="8" fontId="2" fillId="3" borderId="21" xfId="0" applyNumberFormat="1" applyFont="1" applyFill="1" applyBorder="1" applyProtection="1"/>
    <xf numFmtId="0" fontId="4" fillId="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2" fillId="0" borderId="7" xfId="0" applyFont="1" applyBorder="1" applyAlignment="1" applyProtection="1">
      <alignment horizontal="left" indent="1"/>
    </xf>
    <xf numFmtId="0" fontId="2" fillId="3" borderId="16" xfId="0" applyFont="1" applyFill="1" applyBorder="1" applyAlignment="1" applyProtection="1">
      <alignment horizontal="left" indent="1"/>
    </xf>
    <xf numFmtId="8" fontId="2" fillId="3" borderId="17" xfId="0" applyNumberFormat="1" applyFont="1" applyFill="1" applyBorder="1" applyProtection="1"/>
    <xf numFmtId="0" fontId="2" fillId="3" borderId="13" xfId="0" applyFont="1" applyFill="1" applyBorder="1" applyAlignment="1" applyProtection="1">
      <alignment horizontal="left" indent="1"/>
    </xf>
    <xf numFmtId="8" fontId="2" fillId="3" borderId="15" xfId="0" applyNumberFormat="1" applyFont="1" applyFill="1" applyBorder="1" applyProtection="1"/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0" fontId="6" fillId="2" borderId="9" xfId="0" applyFont="1" applyFill="1" applyBorder="1" applyAlignment="1" applyProtection="1">
      <alignment horizontal="center" vertical="center" wrapText="1"/>
    </xf>
    <xf numFmtId="0" fontId="3" fillId="0" borderId="0" xfId="0" applyFont="1" applyProtection="1"/>
    <xf numFmtId="8" fontId="0" fillId="3" borderId="19" xfId="0" applyNumberFormat="1" applyFill="1" applyBorder="1" applyAlignment="1" applyProtection="1">
      <alignment horizontal="center"/>
    </xf>
    <xf numFmtId="8" fontId="0" fillId="3" borderId="17" xfId="0" applyNumberFormat="1" applyFill="1" applyBorder="1" applyAlignment="1" applyProtection="1">
      <alignment horizontal="center"/>
    </xf>
    <xf numFmtId="0" fontId="2" fillId="3" borderId="12" xfId="0" applyFont="1" applyFill="1" applyBorder="1" applyAlignment="1" applyProtection="1">
      <alignment horizontal="left" indent="1"/>
    </xf>
    <xf numFmtId="8" fontId="0" fillId="3" borderId="10" xfId="0" applyNumberFormat="1" applyFill="1" applyBorder="1" applyAlignment="1" applyProtection="1">
      <alignment horizontal="center"/>
    </xf>
    <xf numFmtId="8" fontId="0" fillId="3" borderId="11" xfId="0" applyNumberFormat="1" applyFill="1" applyBorder="1" applyAlignment="1" applyProtection="1">
      <alignment horizontal="center"/>
    </xf>
    <xf numFmtId="8" fontId="0" fillId="3" borderId="14" xfId="0" applyNumberFormat="1" applyFill="1" applyBorder="1" applyAlignment="1" applyProtection="1">
      <alignment horizontal="center"/>
    </xf>
    <xf numFmtId="8" fontId="0" fillId="3" borderId="18" xfId="0" applyNumberFormat="1" applyFill="1" applyBorder="1" applyAlignment="1" applyProtection="1">
      <alignment horizontal="center"/>
    </xf>
    <xf numFmtId="8" fontId="0" fillId="0" borderId="0" xfId="0" applyNumberFormat="1" applyProtection="1"/>
    <xf numFmtId="0" fontId="9" fillId="4" borderId="0" xfId="0" applyFont="1" applyFill="1" applyBorder="1" applyAlignment="1" applyProtection="1">
      <alignment horizontal="center" vertical="center"/>
    </xf>
    <xf numFmtId="0" fontId="8" fillId="0" borderId="0" xfId="0" applyFont="1" applyAlignment="1" applyProtection="1">
      <alignment horizontal="left" vertical="top" wrapText="1"/>
    </xf>
    <xf numFmtId="0" fontId="8" fillId="0" borderId="22" xfId="0" applyFont="1" applyBorder="1" applyAlignment="1" applyProtection="1">
      <alignment horizontal="left" vertical="top" wrapText="1"/>
    </xf>
    <xf numFmtId="0" fontId="4" fillId="4" borderId="9" xfId="0" applyFont="1" applyFill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/>
    </xf>
    <xf numFmtId="0" fontId="2" fillId="3" borderId="0" xfId="0" applyFont="1" applyFill="1" applyAlignment="1" applyProtection="1">
      <alignment horizontal="center"/>
    </xf>
    <xf numFmtId="0" fontId="0" fillId="0" borderId="0" xfId="0" applyAlignment="1" applyProtection="1">
      <alignment horizontal="center"/>
    </xf>
    <xf numFmtId="9" fontId="0" fillId="0" borderId="0" xfId="2" applyFont="1" applyAlignment="1" applyProtection="1">
      <alignment horizontal="center"/>
    </xf>
    <xf numFmtId="164" fontId="0" fillId="0" borderId="0" xfId="3" applyNumberFormat="1" applyFont="1" applyAlignment="1" applyProtection="1">
      <alignment horizontal="center"/>
    </xf>
    <xf numFmtId="0" fontId="2" fillId="3" borderId="0" xfId="0" applyFont="1" applyFill="1" applyAlignment="1" applyProtection="1">
      <alignment horizontal="right"/>
    </xf>
    <xf numFmtId="9" fontId="2" fillId="3" borderId="0" xfId="0" applyNumberFormat="1" applyFont="1" applyFill="1" applyAlignment="1" applyProtection="1">
      <alignment horizontal="center"/>
    </xf>
    <xf numFmtId="164" fontId="2" fillId="3" borderId="0" xfId="0" applyNumberFormat="1" applyFont="1" applyFill="1" applyAlignment="1" applyProtection="1">
      <alignment horizontal="center"/>
    </xf>
    <xf numFmtId="0" fontId="10" fillId="4" borderId="0" xfId="0" applyFont="1" applyFill="1" applyAlignment="1" applyProtection="1">
      <alignment horizontal="left" vertical="center" wrapText="1"/>
    </xf>
    <xf numFmtId="0" fontId="7" fillId="0" borderId="0" xfId="0" applyFont="1" applyProtection="1"/>
    <xf numFmtId="0" fontId="3" fillId="4" borderId="0" xfId="0" applyFont="1" applyFill="1" applyAlignment="1">
      <alignment horizontal="center"/>
    </xf>
    <xf numFmtId="0" fontId="6" fillId="4" borderId="26" xfId="0" applyFont="1" applyFill="1" applyBorder="1" applyAlignment="1">
      <alignment horizontal="center"/>
    </xf>
    <xf numFmtId="0" fontId="6" fillId="4" borderId="27" xfId="0" applyFont="1" applyFill="1" applyBorder="1" applyAlignment="1">
      <alignment horizontal="center"/>
    </xf>
    <xf numFmtId="0" fontId="6" fillId="4" borderId="30" xfId="0" applyFont="1" applyFill="1" applyBorder="1" applyAlignment="1">
      <alignment horizontal="center"/>
    </xf>
    <xf numFmtId="164" fontId="6" fillId="4" borderId="31" xfId="0" applyNumberFormat="1" applyFont="1" applyFill="1" applyBorder="1"/>
    <xf numFmtId="0" fontId="2" fillId="0" borderId="28" xfId="0" applyFont="1" applyBorder="1" applyAlignment="1">
      <alignment horizontal="center"/>
    </xf>
    <xf numFmtId="164" fontId="2" fillId="0" borderId="29" xfId="0" applyNumberFormat="1" applyFont="1" applyBorder="1"/>
    <xf numFmtId="0" fontId="0" fillId="6" borderId="0" xfId="0" applyFill="1"/>
    <xf numFmtId="164" fontId="2" fillId="0" borderId="0" xfId="0" applyNumberFormat="1" applyFont="1" applyAlignment="1" applyProtection="1">
      <alignment horizontal="center"/>
      <protection locked="0"/>
    </xf>
    <xf numFmtId="164" fontId="2" fillId="0" borderId="0" xfId="1" applyNumberFormat="1" applyFont="1" applyAlignment="1" applyProtection="1">
      <alignment horizontal="center"/>
    </xf>
    <xf numFmtId="164" fontId="2" fillId="0" borderId="0" xfId="3" applyNumberFormat="1" applyFont="1" applyAlignment="1" applyProtection="1">
      <alignment horizontal="center"/>
    </xf>
    <xf numFmtId="0" fontId="0" fillId="5" borderId="0" xfId="0" applyFill="1" applyProtection="1"/>
    <xf numFmtId="0" fontId="12" fillId="4" borderId="0" xfId="0" applyFont="1" applyFill="1" applyAlignment="1">
      <alignment horizontal="center"/>
    </xf>
    <xf numFmtId="0" fontId="6" fillId="4" borderId="0" xfId="0" applyFont="1" applyFill="1"/>
    <xf numFmtId="0" fontId="3" fillId="4" borderId="0" xfId="0" applyFont="1" applyFill="1"/>
    <xf numFmtId="0" fontId="0" fillId="4" borderId="0" xfId="0" applyFill="1"/>
    <xf numFmtId="0" fontId="2" fillId="0" borderId="0" xfId="0" applyFont="1" applyProtection="1">
      <protection locked="0"/>
    </xf>
    <xf numFmtId="0" fontId="2" fillId="0" borderId="0" xfId="0" applyFont="1" applyProtection="1"/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10">
    <dxf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'Planilha Cenários'!$D$32</c:f>
              <c:strCache>
                <c:ptCount val="1"/>
                <c:pt idx="0">
                  <c:v>%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B7-4E2E-BC14-7102441F808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FB7-4E2E-BC14-7102441F808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B7-4E2E-BC14-7102441F8082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FB7-4E2E-BC14-7102441F8082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FB7-4E2E-BC14-7102441F8082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CFB7-4E2E-BC14-7102441F80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'Planilha Cenários'!$C$33:$C$38</c:f>
              <c:strCache>
                <c:ptCount val="6"/>
                <c:pt idx="0">
                  <c:v>Renda Fixa</c:v>
                </c:pt>
                <c:pt idx="1">
                  <c:v>Ações</c:v>
                </c:pt>
                <c:pt idx="2">
                  <c:v>FII's</c:v>
                </c:pt>
                <c:pt idx="3">
                  <c:v>Criptomoedas</c:v>
                </c:pt>
                <c:pt idx="4">
                  <c:v>Ações Estrangeiras</c:v>
                </c:pt>
                <c:pt idx="5">
                  <c:v>ETF's</c:v>
                </c:pt>
              </c:strCache>
            </c:strRef>
          </c:cat>
          <c:val>
            <c:numRef>
              <c:f>'Planilha Cenários'!$D$33:$D$38</c:f>
              <c:numCache>
                <c:formatCode>0%</c:formatCode>
                <c:ptCount val="6"/>
                <c:pt idx="0">
                  <c:v>0.35</c:v>
                </c:pt>
                <c:pt idx="1">
                  <c:v>0.3</c:v>
                </c:pt>
                <c:pt idx="2">
                  <c:v>0.15</c:v>
                </c:pt>
                <c:pt idx="3">
                  <c:v>0.05</c:v>
                </c:pt>
                <c:pt idx="4">
                  <c:v>0.1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7-4E2E-BC14-7102441F808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'Planilha Cenários'!$D$32</c:f>
              <c:strCache>
                <c:ptCount val="1"/>
                <c:pt idx="0">
                  <c:v>%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C8A-4F2B-A512-E59E7FC3203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C8A-4F2B-A512-E59E7FC3203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C8A-4F2B-A512-E59E7FC32036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C8A-4F2B-A512-E59E7FC32036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C8A-4F2B-A512-E59E7FC32036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C8A-4F2B-A512-E59E7FC320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'Planilha Cenários'!$C$33:$C$38</c:f>
              <c:strCache>
                <c:ptCount val="6"/>
                <c:pt idx="0">
                  <c:v>Renda Fixa</c:v>
                </c:pt>
                <c:pt idx="1">
                  <c:v>Ações</c:v>
                </c:pt>
                <c:pt idx="2">
                  <c:v>FII's</c:v>
                </c:pt>
                <c:pt idx="3">
                  <c:v>Criptomoedas</c:v>
                </c:pt>
                <c:pt idx="4">
                  <c:v>Ações Estrangeiras</c:v>
                </c:pt>
                <c:pt idx="5">
                  <c:v>ETF's</c:v>
                </c:pt>
              </c:strCache>
            </c:strRef>
          </c:cat>
          <c:val>
            <c:numRef>
              <c:f>'Planilha Cenários'!$D$33:$D$38</c:f>
              <c:numCache>
                <c:formatCode>0%</c:formatCode>
                <c:ptCount val="6"/>
                <c:pt idx="0">
                  <c:v>0.35</c:v>
                </c:pt>
                <c:pt idx="1">
                  <c:v>0.3</c:v>
                </c:pt>
                <c:pt idx="2">
                  <c:v>0.15</c:v>
                </c:pt>
                <c:pt idx="3">
                  <c:v>0.05</c:v>
                </c:pt>
                <c:pt idx="4">
                  <c:v>0.1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C8A-4F2B-A512-E59E7FC3203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'Monte Sua Carteira'!$P$14:$P$19</c:f>
              <c:strCache>
                <c:ptCount val="6"/>
                <c:pt idx="0">
                  <c:v>Renda Fixa</c:v>
                </c:pt>
                <c:pt idx="1">
                  <c:v>Ações</c:v>
                </c:pt>
                <c:pt idx="2">
                  <c:v>FII's</c:v>
                </c:pt>
                <c:pt idx="3">
                  <c:v>Criptomoedas</c:v>
                </c:pt>
                <c:pt idx="4">
                  <c:v>Ações Estrangeiras</c:v>
                </c:pt>
                <c:pt idx="5">
                  <c:v>ETF's</c:v>
                </c:pt>
              </c:strCache>
            </c:strRef>
          </c:cat>
          <c:val>
            <c:numRef>
              <c:f>'Monte Sua Carteira'!$Q$14:$Q$19</c:f>
              <c:numCache>
                <c:formatCode>"R$"\ #,##0.00</c:formatCode>
                <c:ptCount val="6"/>
                <c:pt idx="0">
                  <c:v>15000</c:v>
                </c:pt>
                <c:pt idx="1">
                  <c:v>4649</c:v>
                </c:pt>
                <c:pt idx="2">
                  <c:v>4123.2</c:v>
                </c:pt>
                <c:pt idx="3">
                  <c:v>4500</c:v>
                </c:pt>
                <c:pt idx="4">
                  <c:v>6250</c:v>
                </c:pt>
                <c:pt idx="5">
                  <c:v>2453.6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'Monte Sua Carteira'!$Q$13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62A-4C3A-A00B-50163EDB89D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27</xdr:row>
      <xdr:rowOff>0</xdr:rowOff>
    </xdr:from>
    <xdr:to>
      <xdr:col>9</xdr:col>
      <xdr:colOff>944880</xdr:colOff>
      <xdr:row>42</xdr:row>
      <xdr:rowOff>83820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ECA3068-7093-57A7-B27D-758FC28B7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850731</xdr:colOff>
      <xdr:row>26</xdr:row>
      <xdr:rowOff>133555</xdr:rowOff>
    </xdr:from>
    <xdr:to>
      <xdr:col>3</xdr:col>
      <xdr:colOff>1222563</xdr:colOff>
      <xdr:row>28</xdr:row>
      <xdr:rowOff>25327</xdr:rowOff>
    </xdr:to>
    <xdr:pic>
      <xdr:nvPicPr>
        <xdr:cNvPr id="6" name="Gráfico 5" descr="Cursor com preenchimento sólido">
          <a:extLst>
            <a:ext uri="{FF2B5EF4-FFF2-40B4-BE49-F238E27FC236}">
              <a16:creationId xmlns:a16="http://schemas.microsoft.com/office/drawing/2014/main" id="{4877CF2E-932A-575D-18AD-7B6326F5A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4573565">
          <a:off x="3853011" y="5703775"/>
          <a:ext cx="371832" cy="371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31</xdr:row>
      <xdr:rowOff>7620</xdr:rowOff>
    </xdr:from>
    <xdr:to>
      <xdr:col>13</xdr:col>
      <xdr:colOff>15240</xdr:colOff>
      <xdr:row>47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3405CD-2E26-4E19-B248-03BEE16EEF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601980</xdr:colOff>
      <xdr:row>13</xdr:row>
      <xdr:rowOff>19050</xdr:rowOff>
    </xdr:from>
    <xdr:to>
      <xdr:col>13</xdr:col>
      <xdr:colOff>15240</xdr:colOff>
      <xdr:row>28</xdr:row>
      <xdr:rowOff>106680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32E8EAC-5330-E5AC-5171-00E684850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A5E74D-E091-4614-979F-46C41B57E592}" name="Tabela1" displayName="Tabela1" ref="B2:E20" totalsRowShown="0" headerRowDxfId="1" dataDxfId="0">
  <autoFilter ref="B2:E20" xr:uid="{8DA5E74D-E091-4614-979F-46C41B57E592}"/>
  <tableColumns count="4">
    <tableColumn id="1" xr3:uid="{727486A9-2B4F-4FF8-A2FA-1DE30C4EE19D}" name="Chave" dataDxfId="5">
      <calculatedColumnFormula>CONCATENATE(C3," - ",D3)</calculatedColumnFormula>
    </tableColumn>
    <tableColumn id="2" xr3:uid="{678C28FF-DE4F-450C-AC32-4C22A778D74E}" name="Perfil" dataDxfId="4"/>
    <tableColumn id="3" xr3:uid="{B9763EEB-0EA3-4C66-9A6F-B3F96F19D5F9}" name="Tipo de Investimento" dataDxfId="3"/>
    <tableColumn id="4" xr3:uid="{6F09BED6-1B6B-4CAA-B92B-4958F12C476F}" name="Percentual" dataDxfId="2" dataCellStyle="Porcentagem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4CDD68-4EFA-4EB6-9AC5-A9F6310E8457}" name="Tabela2" displayName="Tabela2" ref="G2:H198" totalsRowShown="0" headerRowDxfId="7" dataDxfId="6">
  <tableColumns count="2">
    <tableColumn id="2" xr3:uid="{6A5F9149-F43C-4B04-B8DF-46A76AA00F78}" name="Código" dataDxfId="9"/>
    <tableColumn id="3" xr3:uid="{685E0789-640A-44E8-B216-1E0E8BD7D22F}" name="Tipo de Investimento" dataDxfId="8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showGridLines="0" tabSelected="1" workbookViewId="0">
      <selection activeCell="I11" sqref="I11"/>
    </sheetView>
  </sheetViews>
  <sheetFormatPr defaultColWidth="0" defaultRowHeight="14.4" zeroHeight="1" x14ac:dyDescent="0.3"/>
  <cols>
    <col min="1" max="2" width="4.5546875" style="10" customWidth="1"/>
    <col min="3" max="3" width="39.21875" style="10" customWidth="1"/>
    <col min="4" max="4" width="20.6640625" style="10" customWidth="1"/>
    <col min="5" max="5" width="18.109375" style="10" customWidth="1"/>
    <col min="6" max="6" width="5.33203125" style="10" customWidth="1"/>
    <col min="7" max="7" width="14.44140625" style="10" customWidth="1"/>
    <col min="8" max="8" width="4.33203125" style="10" customWidth="1"/>
    <col min="9" max="9" width="17.5546875" style="10" bestFit="1" customWidth="1"/>
    <col min="10" max="10" width="13.88671875" style="10" customWidth="1"/>
    <col min="11" max="11" width="5" style="10" customWidth="1"/>
    <col min="12" max="12" width="4" style="10" customWidth="1"/>
    <col min="13" max="15" width="8.88671875" style="10" hidden="1" customWidth="1"/>
    <col min="16" max="16384" width="8.88671875" style="10" hidden="1"/>
  </cols>
  <sheetData>
    <row r="1" spans="1:12" x14ac:dyDescent="0.3">
      <c r="A1" s="62" t="s">
        <v>251</v>
      </c>
      <c r="B1" s="62" t="s">
        <v>251</v>
      </c>
      <c r="C1" s="62" t="s">
        <v>251</v>
      </c>
      <c r="D1" s="62" t="s">
        <v>251</v>
      </c>
      <c r="E1" s="62" t="s">
        <v>251</v>
      </c>
      <c r="F1" s="62" t="s">
        <v>251</v>
      </c>
      <c r="G1" s="62" t="s">
        <v>251</v>
      </c>
      <c r="H1" s="62" t="s">
        <v>251</v>
      </c>
      <c r="I1" s="62" t="s">
        <v>251</v>
      </c>
      <c r="J1" s="62" t="s">
        <v>251</v>
      </c>
      <c r="K1" s="62" t="s">
        <v>251</v>
      </c>
      <c r="L1" s="62" t="s">
        <v>251</v>
      </c>
    </row>
    <row r="2" spans="1:12" x14ac:dyDescent="0.3">
      <c r="A2" s="62"/>
      <c r="L2" s="62" t="s">
        <v>251</v>
      </c>
    </row>
    <row r="3" spans="1:12" ht="61.2" x14ac:dyDescent="0.3">
      <c r="A3" s="62"/>
      <c r="C3" s="11" t="s">
        <v>12</v>
      </c>
      <c r="D3" s="11"/>
      <c r="E3" s="11"/>
      <c r="F3" s="11"/>
      <c r="G3" s="11"/>
      <c r="H3" s="11"/>
      <c r="I3" s="11"/>
      <c r="J3" s="11"/>
      <c r="L3" s="62" t="s">
        <v>251</v>
      </c>
    </row>
    <row r="4" spans="1:12" x14ac:dyDescent="0.3">
      <c r="A4" s="62"/>
      <c r="L4" s="62" t="s">
        <v>251</v>
      </c>
    </row>
    <row r="5" spans="1:12" ht="16.2" thickBot="1" x14ac:dyDescent="0.35">
      <c r="A5" s="62"/>
      <c r="C5" s="50" t="s">
        <v>248</v>
      </c>
      <c r="L5" s="62" t="s">
        <v>251</v>
      </c>
    </row>
    <row r="6" spans="1:12" ht="21.6" thickBot="1" x14ac:dyDescent="0.35">
      <c r="A6" s="62"/>
      <c r="C6" s="12" t="s">
        <v>11</v>
      </c>
      <c r="D6" s="13"/>
      <c r="L6" s="62" t="s">
        <v>251</v>
      </c>
    </row>
    <row r="7" spans="1:12" ht="15" thickBot="1" x14ac:dyDescent="0.35">
      <c r="A7" s="62"/>
      <c r="C7" s="14" t="s">
        <v>249</v>
      </c>
      <c r="D7" s="2">
        <v>5000</v>
      </c>
      <c r="L7" s="62" t="s">
        <v>251</v>
      </c>
    </row>
    <row r="8" spans="1:12" ht="15" thickBot="1" x14ac:dyDescent="0.35">
      <c r="A8" s="62"/>
      <c r="C8" s="16" t="s">
        <v>13</v>
      </c>
      <c r="D8" s="17">
        <f>Salario*0.225</f>
        <v>1125</v>
      </c>
      <c r="L8" s="62" t="s">
        <v>251</v>
      </c>
    </row>
    <row r="9" spans="1:12" x14ac:dyDescent="0.3">
      <c r="A9" s="62"/>
      <c r="L9" s="62" t="s">
        <v>251</v>
      </c>
    </row>
    <row r="10" spans="1:12" ht="15.6" x14ac:dyDescent="0.3">
      <c r="A10" s="62"/>
      <c r="C10" s="50" t="s">
        <v>250</v>
      </c>
      <c r="L10" s="62" t="s">
        <v>251</v>
      </c>
    </row>
    <row r="11" spans="1:12" ht="16.2" thickBot="1" x14ac:dyDescent="0.35">
      <c r="A11" s="62"/>
      <c r="C11" s="50" t="s">
        <v>234</v>
      </c>
      <c r="L11" s="62" t="s">
        <v>251</v>
      </c>
    </row>
    <row r="12" spans="1:12" ht="22.8" customHeight="1" thickBot="1" x14ac:dyDescent="0.35">
      <c r="A12" s="62"/>
      <c r="C12" s="18" t="s">
        <v>5</v>
      </c>
      <c r="D12" s="19"/>
      <c r="L12" s="62" t="s">
        <v>251</v>
      </c>
    </row>
    <row r="13" spans="1:12" ht="15" thickBot="1" x14ac:dyDescent="0.35">
      <c r="A13" s="62"/>
      <c r="C13" s="14" t="s">
        <v>0</v>
      </c>
      <c r="D13" s="2">
        <v>500</v>
      </c>
      <c r="L13" s="62" t="s">
        <v>251</v>
      </c>
    </row>
    <row r="14" spans="1:12" ht="15" thickBot="1" x14ac:dyDescent="0.35">
      <c r="A14" s="62"/>
      <c r="C14" s="15" t="s">
        <v>1</v>
      </c>
      <c r="D14" s="3">
        <v>5</v>
      </c>
      <c r="L14" s="62" t="s">
        <v>251</v>
      </c>
    </row>
    <row r="15" spans="1:12" ht="15" thickBot="1" x14ac:dyDescent="0.35">
      <c r="A15" s="62"/>
      <c r="C15" s="20" t="s">
        <v>2</v>
      </c>
      <c r="D15" s="4">
        <v>1.0789999999999999E-2</v>
      </c>
      <c r="L15" s="62" t="s">
        <v>251</v>
      </c>
    </row>
    <row r="16" spans="1:12" ht="15" thickBot="1" x14ac:dyDescent="0.35">
      <c r="A16" s="62"/>
      <c r="C16" s="21" t="s">
        <v>3</v>
      </c>
      <c r="D16" s="22">
        <f>-FV(rentabilidade,prazo_investimento*12,Aporte)</f>
        <v>41888.456999243819</v>
      </c>
      <c r="L16" s="62" t="s">
        <v>251</v>
      </c>
    </row>
    <row r="17" spans="1:12" ht="15" thickBot="1" x14ac:dyDescent="0.35">
      <c r="A17" s="62"/>
      <c r="C17" s="23" t="s">
        <v>4</v>
      </c>
      <c r="D17" s="24">
        <f>patrim_acum*rentabilidade</f>
        <v>451.97645102184077</v>
      </c>
      <c r="L17" s="62" t="s">
        <v>251</v>
      </c>
    </row>
    <row r="18" spans="1:12" x14ac:dyDescent="0.3">
      <c r="A18" s="62"/>
      <c r="L18" s="62" t="s">
        <v>251</v>
      </c>
    </row>
    <row r="19" spans="1:12" ht="14.4" customHeight="1" thickBot="1" x14ac:dyDescent="0.35">
      <c r="A19" s="62"/>
      <c r="C19" s="50" t="s">
        <v>233</v>
      </c>
      <c r="L19" s="62" t="s">
        <v>251</v>
      </c>
    </row>
    <row r="20" spans="1:12" ht="29.4" thickBot="1" x14ac:dyDescent="0.35">
      <c r="A20" s="62"/>
      <c r="C20" s="25" t="s">
        <v>226</v>
      </c>
      <c r="D20" s="26"/>
      <c r="E20" s="27" t="s">
        <v>227</v>
      </c>
      <c r="L20" s="62" t="s">
        <v>251</v>
      </c>
    </row>
    <row r="21" spans="1:12" ht="15" thickBot="1" x14ac:dyDescent="0.35">
      <c r="A21" s="62">
        <v>2</v>
      </c>
      <c r="B21" s="28"/>
      <c r="C21" s="21" t="s">
        <v>6</v>
      </c>
      <c r="D21" s="29">
        <f>-FV(rentabilidade,(A21*12),Aporte)</f>
        <v>13613.813648822608</v>
      </c>
      <c r="E21" s="30">
        <f>D21*rentabilidade</f>
        <v>146.89304927079593</v>
      </c>
      <c r="L21" s="62" t="s">
        <v>251</v>
      </c>
    </row>
    <row r="22" spans="1:12" ht="15" thickBot="1" x14ac:dyDescent="0.35">
      <c r="A22" s="62">
        <v>5</v>
      </c>
      <c r="B22" s="28"/>
      <c r="C22" s="31" t="s">
        <v>7</v>
      </c>
      <c r="D22" s="32">
        <f>-FV(rentabilidade,(A22*12),Aporte)</f>
        <v>41888.456999243819</v>
      </c>
      <c r="E22" s="33">
        <f>D22*rentabilidade</f>
        <v>451.97645102184077</v>
      </c>
      <c r="L22" s="62" t="s">
        <v>251</v>
      </c>
    </row>
    <row r="23" spans="1:12" ht="15" thickBot="1" x14ac:dyDescent="0.35">
      <c r="A23" s="62">
        <v>10</v>
      </c>
      <c r="B23" s="28"/>
      <c r="C23" s="31" t="s">
        <v>8</v>
      </c>
      <c r="D23" s="32">
        <f>-FV(rentabilidade,(A23*12),Aporte)</f>
        <v>121642.1062650861</v>
      </c>
      <c r="E23" s="33">
        <f>D23*rentabilidade</f>
        <v>1312.5183266002789</v>
      </c>
      <c r="L23" s="62" t="s">
        <v>251</v>
      </c>
    </row>
    <row r="24" spans="1:12" ht="15" thickBot="1" x14ac:dyDescent="0.35">
      <c r="A24" s="62">
        <v>20</v>
      </c>
      <c r="B24" s="28"/>
      <c r="C24" s="31" t="s">
        <v>9</v>
      </c>
      <c r="D24" s="32">
        <f>-FV(rentabilidade,(A24*12),Aporte)</f>
        <v>562599.20004854025</v>
      </c>
      <c r="E24" s="33">
        <f>D24*rentabilidade</f>
        <v>6070.4453685237486</v>
      </c>
      <c r="L24" s="62" t="s">
        <v>251</v>
      </c>
    </row>
    <row r="25" spans="1:12" ht="15" thickBot="1" x14ac:dyDescent="0.35">
      <c r="A25" s="62">
        <v>30</v>
      </c>
      <c r="B25" s="28"/>
      <c r="C25" s="23" t="s">
        <v>10</v>
      </c>
      <c r="D25" s="34">
        <f>-FV(rentabilidade,(A25*12),Aporte)</f>
        <v>2161084.8275023573</v>
      </c>
      <c r="E25" s="35">
        <f>D25*rentabilidade</f>
        <v>23318.105288750434</v>
      </c>
      <c r="L25" s="62" t="s">
        <v>251</v>
      </c>
    </row>
    <row r="26" spans="1:12" x14ac:dyDescent="0.3">
      <c r="A26" s="62"/>
      <c r="D26" s="36"/>
      <c r="L26" s="62" t="s">
        <v>251</v>
      </c>
    </row>
    <row r="27" spans="1:12" ht="18.600000000000001" customHeight="1" x14ac:dyDescent="0.3">
      <c r="A27" s="62"/>
      <c r="C27" s="38" t="s">
        <v>30</v>
      </c>
      <c r="D27" s="38"/>
      <c r="G27" s="37" t="s">
        <v>224</v>
      </c>
      <c r="H27" s="37"/>
      <c r="I27" s="37"/>
      <c r="J27" s="37"/>
      <c r="L27" s="62" t="s">
        <v>251</v>
      </c>
    </row>
    <row r="28" spans="1:12" ht="19.2" customHeight="1" thickBot="1" x14ac:dyDescent="0.35">
      <c r="A28" s="62"/>
      <c r="C28" s="39"/>
      <c r="D28" s="39"/>
      <c r="L28" s="62" t="s">
        <v>251</v>
      </c>
    </row>
    <row r="29" spans="1:12" ht="21" x14ac:dyDescent="0.3">
      <c r="A29" s="62"/>
      <c r="C29" s="40" t="s">
        <v>18</v>
      </c>
      <c r="D29" s="40" t="s">
        <v>17</v>
      </c>
      <c r="L29" s="62" t="s">
        <v>251</v>
      </c>
    </row>
    <row r="30" spans="1:12" x14ac:dyDescent="0.3">
      <c r="A30" s="62"/>
      <c r="C30" s="41" t="s">
        <v>19</v>
      </c>
      <c r="D30" s="61">
        <f>Aporte</f>
        <v>500</v>
      </c>
      <c r="L30" s="62" t="s">
        <v>251</v>
      </c>
    </row>
    <row r="31" spans="1:12" x14ac:dyDescent="0.3">
      <c r="A31" s="62"/>
      <c r="L31" s="62" t="s">
        <v>251</v>
      </c>
    </row>
    <row r="32" spans="1:12" x14ac:dyDescent="0.3">
      <c r="A32" s="62"/>
      <c r="C32" s="42" t="s">
        <v>225</v>
      </c>
      <c r="D32" s="42" t="s">
        <v>20</v>
      </c>
      <c r="E32" s="42" t="s">
        <v>21</v>
      </c>
      <c r="L32" s="62" t="s">
        <v>251</v>
      </c>
    </row>
    <row r="33" spans="1:12" x14ac:dyDescent="0.3">
      <c r="A33" s="62"/>
      <c r="C33" s="43" t="s">
        <v>210</v>
      </c>
      <c r="D33" s="44">
        <f>VLOOKUP(CONCATENATE($D$29," - ",C33),'Planilha de Apoio'!B:E,4,0)</f>
        <v>0.35</v>
      </c>
      <c r="E33" s="45">
        <f>$D$30*D33</f>
        <v>175</v>
      </c>
      <c r="L33" s="62" t="s">
        <v>251</v>
      </c>
    </row>
    <row r="34" spans="1:12" x14ac:dyDescent="0.3">
      <c r="A34" s="62"/>
      <c r="C34" s="43" t="s">
        <v>26</v>
      </c>
      <c r="D34" s="44">
        <f>VLOOKUP(CONCATENATE($D$29," - ",C34),'Planilha de Apoio'!B:E,4,0)</f>
        <v>0.3</v>
      </c>
      <c r="E34" s="45">
        <f t="shared" ref="E34:E38" si="0">$D$30*D34</f>
        <v>150</v>
      </c>
      <c r="L34" s="62" t="s">
        <v>251</v>
      </c>
    </row>
    <row r="35" spans="1:12" x14ac:dyDescent="0.3">
      <c r="A35" s="62"/>
      <c r="C35" s="43" t="s">
        <v>27</v>
      </c>
      <c r="D35" s="44">
        <f>VLOOKUP(CONCATENATE($D$29," - ",C35),'Planilha de Apoio'!B:E,4,0)</f>
        <v>0.15</v>
      </c>
      <c r="E35" s="45">
        <f t="shared" si="0"/>
        <v>75</v>
      </c>
      <c r="L35" s="62" t="s">
        <v>251</v>
      </c>
    </row>
    <row r="36" spans="1:12" x14ac:dyDescent="0.3">
      <c r="A36" s="62"/>
      <c r="C36" s="43" t="s">
        <v>28</v>
      </c>
      <c r="D36" s="44">
        <f>VLOOKUP(CONCATENATE($D$29," - ",C36),'Planilha de Apoio'!B:E,4,0)</f>
        <v>0.05</v>
      </c>
      <c r="E36" s="45">
        <f t="shared" si="0"/>
        <v>25</v>
      </c>
      <c r="L36" s="62" t="s">
        <v>251</v>
      </c>
    </row>
    <row r="37" spans="1:12" x14ac:dyDescent="0.3">
      <c r="A37" s="62"/>
      <c r="C37" s="43" t="s">
        <v>197</v>
      </c>
      <c r="D37" s="44">
        <f>VLOOKUP(CONCATENATE($D$29," - ",C37),'Planilha de Apoio'!B:E,4,0)</f>
        <v>0.1</v>
      </c>
      <c r="E37" s="45">
        <f t="shared" si="0"/>
        <v>50</v>
      </c>
      <c r="L37" s="62" t="s">
        <v>251</v>
      </c>
    </row>
    <row r="38" spans="1:12" x14ac:dyDescent="0.3">
      <c r="A38" s="62"/>
      <c r="C38" s="43" t="s">
        <v>29</v>
      </c>
      <c r="D38" s="44">
        <f>VLOOKUP(CONCATENATE($D$29," - ",C38),'Planilha de Apoio'!B:E,4,0)</f>
        <v>0.05</v>
      </c>
      <c r="E38" s="45">
        <f t="shared" si="0"/>
        <v>25</v>
      </c>
      <c r="L38" s="62" t="s">
        <v>251</v>
      </c>
    </row>
    <row r="39" spans="1:12" x14ac:dyDescent="0.3">
      <c r="A39" s="62"/>
      <c r="C39" s="46" t="s">
        <v>22</v>
      </c>
      <c r="D39" s="47">
        <f>SUM(D33:D38)</f>
        <v>1</v>
      </c>
      <c r="E39" s="48">
        <f>SUM(E33:E38)</f>
        <v>500</v>
      </c>
      <c r="L39" s="62" t="s">
        <v>251</v>
      </c>
    </row>
    <row r="40" spans="1:12" x14ac:dyDescent="0.3">
      <c r="A40" s="62"/>
      <c r="L40" s="62" t="s">
        <v>251</v>
      </c>
    </row>
    <row r="41" spans="1:12" x14ac:dyDescent="0.3">
      <c r="A41" s="62"/>
      <c r="L41" s="62" t="s">
        <v>251</v>
      </c>
    </row>
    <row r="42" spans="1:12" x14ac:dyDescent="0.3">
      <c r="A42" s="62"/>
      <c r="L42" s="62" t="s">
        <v>251</v>
      </c>
    </row>
    <row r="43" spans="1:12" x14ac:dyDescent="0.3">
      <c r="A43" s="62"/>
      <c r="L43" s="62" t="s">
        <v>251</v>
      </c>
    </row>
    <row r="44" spans="1:12" x14ac:dyDescent="0.3">
      <c r="A44" s="62"/>
      <c r="L44" s="62" t="s">
        <v>251</v>
      </c>
    </row>
    <row r="45" spans="1:12" ht="13.8" hidden="1" customHeight="1" x14ac:dyDescent="0.3">
      <c r="A45" s="62"/>
      <c r="L45" s="62" t="s">
        <v>251</v>
      </c>
    </row>
    <row r="46" spans="1:12" hidden="1" x14ac:dyDescent="0.3">
      <c r="A46" s="62"/>
      <c r="L46" s="62" t="s">
        <v>251</v>
      </c>
    </row>
    <row r="47" spans="1:12" hidden="1" x14ac:dyDescent="0.3">
      <c r="A47" s="62"/>
      <c r="L47" s="62" t="s">
        <v>251</v>
      </c>
    </row>
    <row r="48" spans="1:12" hidden="1" x14ac:dyDescent="0.3">
      <c r="A48" s="62"/>
      <c r="L48" s="62" t="s">
        <v>251</v>
      </c>
    </row>
    <row r="49" spans="1:12" hidden="1" x14ac:dyDescent="0.3">
      <c r="A49" s="62"/>
      <c r="L49" s="62" t="s">
        <v>251</v>
      </c>
    </row>
    <row r="50" spans="1:12" hidden="1" x14ac:dyDescent="0.3">
      <c r="A50" s="62"/>
      <c r="L50" s="62" t="s">
        <v>251</v>
      </c>
    </row>
    <row r="51" spans="1:12" hidden="1" x14ac:dyDescent="0.3">
      <c r="A51" s="62"/>
      <c r="L51" s="62" t="s">
        <v>251</v>
      </c>
    </row>
    <row r="52" spans="1:12" ht="14.4" customHeight="1" x14ac:dyDescent="0.3">
      <c r="A52" s="62"/>
      <c r="C52" s="49" t="s">
        <v>232</v>
      </c>
      <c r="D52" s="49"/>
      <c r="E52" s="49"/>
      <c r="F52" s="49"/>
      <c r="G52" s="49"/>
      <c r="H52" s="49"/>
      <c r="I52" s="49"/>
      <c r="J52" s="49"/>
      <c r="L52" s="62" t="s">
        <v>251</v>
      </c>
    </row>
    <row r="53" spans="1:12" ht="14.4" hidden="1" customHeight="1" x14ac:dyDescent="0.3">
      <c r="A53" s="62"/>
      <c r="C53" s="49"/>
      <c r="D53" s="49"/>
      <c r="E53" s="49"/>
      <c r="F53" s="49"/>
      <c r="G53" s="49"/>
      <c r="H53" s="49"/>
      <c r="I53" s="49"/>
      <c r="J53" s="49"/>
      <c r="L53" s="62" t="s">
        <v>251</v>
      </c>
    </row>
    <row r="54" spans="1:12" ht="14.4" hidden="1" customHeight="1" x14ac:dyDescent="0.3">
      <c r="A54" s="62"/>
      <c r="C54" s="49"/>
      <c r="D54" s="49"/>
      <c r="E54" s="49"/>
      <c r="F54" s="49"/>
      <c r="G54" s="49"/>
      <c r="H54" s="49"/>
      <c r="I54" s="49"/>
      <c r="J54" s="49"/>
      <c r="L54" s="62" t="s">
        <v>251</v>
      </c>
    </row>
    <row r="55" spans="1:12" ht="14.4" hidden="1" customHeight="1" x14ac:dyDescent="0.3">
      <c r="A55" s="62"/>
      <c r="C55" s="49"/>
      <c r="D55" s="49"/>
      <c r="E55" s="49"/>
      <c r="F55" s="49"/>
      <c r="G55" s="49"/>
      <c r="H55" s="49"/>
      <c r="I55" s="49"/>
      <c r="J55" s="49"/>
      <c r="L55" s="62" t="s">
        <v>251</v>
      </c>
    </row>
    <row r="56" spans="1:12" ht="14.4" hidden="1" customHeight="1" x14ac:dyDescent="0.3">
      <c r="A56" s="62"/>
      <c r="C56" s="49"/>
      <c r="D56" s="49"/>
      <c r="E56" s="49"/>
      <c r="F56" s="49"/>
      <c r="G56" s="49"/>
      <c r="H56" s="49"/>
      <c r="I56" s="49"/>
      <c r="J56" s="49"/>
      <c r="L56" s="62" t="s">
        <v>251</v>
      </c>
    </row>
    <row r="57" spans="1:12" ht="14.4" hidden="1" customHeight="1" x14ac:dyDescent="0.3">
      <c r="A57" s="62"/>
      <c r="C57" s="49"/>
      <c r="D57" s="49"/>
      <c r="E57" s="49"/>
      <c r="F57" s="49"/>
      <c r="G57" s="49"/>
      <c r="H57" s="49"/>
      <c r="I57" s="49"/>
      <c r="J57" s="49"/>
      <c r="L57" s="62" t="s">
        <v>251</v>
      </c>
    </row>
    <row r="58" spans="1:12" ht="14.4" hidden="1" customHeight="1" x14ac:dyDescent="0.3">
      <c r="A58" s="62"/>
      <c r="C58" s="49"/>
      <c r="D58" s="49"/>
      <c r="E58" s="49"/>
      <c r="F58" s="49"/>
      <c r="G58" s="49"/>
      <c r="H58" s="49"/>
      <c r="I58" s="49"/>
      <c r="J58" s="49"/>
      <c r="L58" s="62" t="s">
        <v>251</v>
      </c>
    </row>
    <row r="59" spans="1:12" ht="14.4" hidden="1" customHeight="1" x14ac:dyDescent="0.3">
      <c r="A59" s="62"/>
      <c r="C59" s="49"/>
      <c r="D59" s="49"/>
      <c r="E59" s="49"/>
      <c r="F59" s="49"/>
      <c r="G59" s="49"/>
      <c r="H59" s="49"/>
      <c r="I59" s="49"/>
      <c r="J59" s="49"/>
      <c r="L59" s="62" t="s">
        <v>251</v>
      </c>
    </row>
    <row r="60" spans="1:12" ht="14.4" hidden="1" customHeight="1" x14ac:dyDescent="0.3">
      <c r="A60" s="62"/>
      <c r="C60" s="49"/>
      <c r="D60" s="49"/>
      <c r="E60" s="49"/>
      <c r="F60" s="49"/>
      <c r="G60" s="49"/>
      <c r="H60" s="49"/>
      <c r="I60" s="49"/>
      <c r="J60" s="49"/>
      <c r="L60" s="62" t="s">
        <v>251</v>
      </c>
    </row>
    <row r="61" spans="1:12" ht="14.4" hidden="1" customHeight="1" x14ac:dyDescent="0.3">
      <c r="A61" s="62"/>
      <c r="C61" s="49"/>
      <c r="D61" s="49"/>
      <c r="E61" s="49"/>
      <c r="F61" s="49"/>
      <c r="G61" s="49"/>
      <c r="H61" s="49"/>
      <c r="I61" s="49"/>
      <c r="J61" s="49"/>
      <c r="L61" s="62" t="s">
        <v>251</v>
      </c>
    </row>
    <row r="62" spans="1:12" ht="14.4" hidden="1" customHeight="1" x14ac:dyDescent="0.3">
      <c r="A62" s="62"/>
      <c r="C62" s="49"/>
      <c r="D62" s="49"/>
      <c r="E62" s="49"/>
      <c r="F62" s="49"/>
      <c r="G62" s="49"/>
      <c r="H62" s="49"/>
      <c r="I62" s="49"/>
      <c r="J62" s="49"/>
      <c r="L62" s="62" t="s">
        <v>251</v>
      </c>
    </row>
    <row r="63" spans="1:12" ht="14.4" hidden="1" customHeight="1" x14ac:dyDescent="0.3">
      <c r="A63" s="62"/>
      <c r="C63" s="49"/>
      <c r="D63" s="49"/>
      <c r="E63" s="49"/>
      <c r="F63" s="49"/>
      <c r="G63" s="49"/>
      <c r="H63" s="49"/>
      <c r="I63" s="49"/>
      <c r="J63" s="49"/>
      <c r="L63" s="62" t="s">
        <v>251</v>
      </c>
    </row>
    <row r="64" spans="1:12" ht="14.4" hidden="1" customHeight="1" x14ac:dyDescent="0.3">
      <c r="A64" s="62"/>
      <c r="C64" s="49"/>
      <c r="D64" s="49"/>
      <c r="E64" s="49"/>
      <c r="F64" s="49"/>
      <c r="G64" s="49"/>
      <c r="H64" s="49"/>
      <c r="I64" s="49"/>
      <c r="J64" s="49"/>
      <c r="L64" s="62" t="s">
        <v>251</v>
      </c>
    </row>
    <row r="65" spans="1:12" ht="14.4" hidden="1" customHeight="1" x14ac:dyDescent="0.3">
      <c r="A65" s="62"/>
      <c r="C65" s="49"/>
      <c r="D65" s="49"/>
      <c r="E65" s="49"/>
      <c r="F65" s="49"/>
      <c r="G65" s="49"/>
      <c r="H65" s="49"/>
      <c r="I65" s="49"/>
      <c r="J65" s="49"/>
      <c r="L65" s="62" t="s">
        <v>251</v>
      </c>
    </row>
    <row r="66" spans="1:12" ht="14.4" hidden="1" customHeight="1" x14ac:dyDescent="0.3">
      <c r="A66" s="62"/>
      <c r="C66" s="49"/>
      <c r="D66" s="49"/>
      <c r="E66" s="49"/>
      <c r="F66" s="49"/>
      <c r="G66" s="49"/>
      <c r="H66" s="49"/>
      <c r="I66" s="49"/>
      <c r="J66" s="49"/>
      <c r="L66" s="62" t="s">
        <v>251</v>
      </c>
    </row>
    <row r="67" spans="1:12" ht="14.4" hidden="1" customHeight="1" x14ac:dyDescent="0.3">
      <c r="A67" s="62"/>
      <c r="C67" s="49"/>
      <c r="D67" s="49"/>
      <c r="E67" s="49"/>
      <c r="F67" s="49"/>
      <c r="G67" s="49"/>
      <c r="H67" s="49"/>
      <c r="I67" s="49"/>
      <c r="J67" s="49"/>
      <c r="L67" s="62" t="s">
        <v>251</v>
      </c>
    </row>
    <row r="68" spans="1:12" ht="24" customHeight="1" x14ac:dyDescent="0.3">
      <c r="A68" s="62"/>
      <c r="C68" s="49"/>
      <c r="D68" s="49"/>
      <c r="E68" s="49"/>
      <c r="F68" s="49"/>
      <c r="G68" s="49"/>
      <c r="H68" s="49"/>
      <c r="I68" s="49"/>
      <c r="J68" s="49"/>
      <c r="L68" s="62" t="s">
        <v>251</v>
      </c>
    </row>
    <row r="69" spans="1:12" ht="13.2" customHeight="1" x14ac:dyDescent="0.3">
      <c r="A69" s="62"/>
      <c r="C69" s="49"/>
      <c r="D69" s="49"/>
      <c r="E69" s="49"/>
      <c r="F69" s="49"/>
      <c r="G69" s="49"/>
      <c r="H69" s="49"/>
      <c r="I69" s="49"/>
      <c r="J69" s="49"/>
      <c r="L69" s="62" t="s">
        <v>251</v>
      </c>
    </row>
    <row r="70" spans="1:12" ht="14.4" customHeight="1" x14ac:dyDescent="0.3">
      <c r="A70" s="62"/>
      <c r="C70" s="49"/>
      <c r="D70" s="49"/>
      <c r="E70" s="49"/>
      <c r="F70" s="49"/>
      <c r="G70" s="49"/>
      <c r="H70" s="49"/>
      <c r="I70" s="49"/>
      <c r="J70" s="49"/>
      <c r="L70" s="62" t="s">
        <v>251</v>
      </c>
    </row>
    <row r="71" spans="1:12" ht="14.4" customHeight="1" x14ac:dyDescent="0.3">
      <c r="A71" s="62"/>
      <c r="C71" s="49"/>
      <c r="D71" s="49"/>
      <c r="E71" s="49"/>
      <c r="F71" s="49"/>
      <c r="G71" s="49"/>
      <c r="H71" s="49"/>
      <c r="I71" s="49"/>
      <c r="J71" s="49"/>
      <c r="L71" s="62" t="s">
        <v>251</v>
      </c>
    </row>
    <row r="72" spans="1:12" x14ac:dyDescent="0.3">
      <c r="A72" s="62"/>
      <c r="L72" s="62" t="s">
        <v>251</v>
      </c>
    </row>
    <row r="73" spans="1:12" hidden="1" x14ac:dyDescent="0.3">
      <c r="A73" s="62"/>
      <c r="L73" s="62" t="s">
        <v>251</v>
      </c>
    </row>
    <row r="74" spans="1:12" hidden="1" x14ac:dyDescent="0.3">
      <c r="A74" s="62"/>
      <c r="L74" s="62" t="s">
        <v>251</v>
      </c>
    </row>
    <row r="75" spans="1:12" hidden="1" x14ac:dyDescent="0.3">
      <c r="A75" s="62"/>
      <c r="L75" s="62" t="s">
        <v>251</v>
      </c>
    </row>
    <row r="76" spans="1:12" hidden="1" x14ac:dyDescent="0.3">
      <c r="A76" s="62"/>
      <c r="L76" s="62" t="s">
        <v>251</v>
      </c>
    </row>
    <row r="77" spans="1:12" hidden="1" x14ac:dyDescent="0.3">
      <c r="A77" s="62"/>
      <c r="L77" s="62" t="s">
        <v>251</v>
      </c>
    </row>
    <row r="78" spans="1:12" hidden="1" x14ac:dyDescent="0.3">
      <c r="A78" s="62"/>
      <c r="L78" s="62" t="s">
        <v>251</v>
      </c>
    </row>
    <row r="79" spans="1:12" hidden="1" x14ac:dyDescent="0.3">
      <c r="A79" s="62"/>
      <c r="L79" s="62" t="s">
        <v>251</v>
      </c>
    </row>
    <row r="80" spans="1:12" hidden="1" x14ac:dyDescent="0.3">
      <c r="A80" s="62"/>
      <c r="L80" s="62" t="s">
        <v>251</v>
      </c>
    </row>
    <row r="81" spans="1:12" hidden="1" x14ac:dyDescent="0.3">
      <c r="A81" s="62"/>
      <c r="L81" s="62" t="s">
        <v>251</v>
      </c>
    </row>
    <row r="82" spans="1:12" hidden="1" x14ac:dyDescent="0.3">
      <c r="A82" s="62"/>
      <c r="L82" s="62" t="s">
        <v>251</v>
      </c>
    </row>
    <row r="83" spans="1:12" hidden="1" x14ac:dyDescent="0.3">
      <c r="A83" s="62"/>
      <c r="L83" s="62" t="s">
        <v>251</v>
      </c>
    </row>
    <row r="84" spans="1:12" hidden="1" x14ac:dyDescent="0.3">
      <c r="A84" s="62"/>
      <c r="L84" s="62" t="s">
        <v>251</v>
      </c>
    </row>
    <row r="85" spans="1:12" hidden="1" x14ac:dyDescent="0.3">
      <c r="A85" s="62"/>
      <c r="L85" s="62" t="s">
        <v>251</v>
      </c>
    </row>
    <row r="86" spans="1:12" hidden="1" x14ac:dyDescent="0.3">
      <c r="A86" s="62"/>
      <c r="L86" s="62" t="s">
        <v>251</v>
      </c>
    </row>
    <row r="87" spans="1:12" hidden="1" x14ac:dyDescent="0.3">
      <c r="A87" s="62"/>
      <c r="L87" s="62" t="s">
        <v>251</v>
      </c>
    </row>
    <row r="88" spans="1:12" hidden="1" x14ac:dyDescent="0.3">
      <c r="A88" s="62"/>
      <c r="L88" s="62" t="s">
        <v>251</v>
      </c>
    </row>
    <row r="89" spans="1:12" hidden="1" x14ac:dyDescent="0.3">
      <c r="A89" s="62"/>
      <c r="L89" s="62" t="s">
        <v>251</v>
      </c>
    </row>
    <row r="90" spans="1:12" hidden="1" x14ac:dyDescent="0.3">
      <c r="A90" s="62"/>
      <c r="L90" s="62" t="s">
        <v>251</v>
      </c>
    </row>
    <row r="91" spans="1:12" hidden="1" x14ac:dyDescent="0.3">
      <c r="A91" s="62"/>
      <c r="L91" s="62" t="s">
        <v>251</v>
      </c>
    </row>
    <row r="92" spans="1:12" hidden="1" x14ac:dyDescent="0.3">
      <c r="A92" s="62"/>
      <c r="L92" s="62" t="s">
        <v>251</v>
      </c>
    </row>
    <row r="93" spans="1:12" hidden="1" x14ac:dyDescent="0.3">
      <c r="A93" s="62"/>
      <c r="L93" s="62" t="s">
        <v>251</v>
      </c>
    </row>
    <row r="94" spans="1:12" hidden="1" x14ac:dyDescent="0.3">
      <c r="A94" s="62"/>
      <c r="L94" s="62" t="s">
        <v>251</v>
      </c>
    </row>
    <row r="95" spans="1:12" hidden="1" x14ac:dyDescent="0.3">
      <c r="A95" s="62"/>
      <c r="L95" s="62" t="s">
        <v>251</v>
      </c>
    </row>
    <row r="96" spans="1:12" hidden="1" x14ac:dyDescent="0.3">
      <c r="A96" s="62"/>
      <c r="L96" s="62" t="s">
        <v>251</v>
      </c>
    </row>
    <row r="97" spans="1:12" hidden="1" x14ac:dyDescent="0.3">
      <c r="A97" s="62"/>
      <c r="L97" s="62" t="s">
        <v>251</v>
      </c>
    </row>
    <row r="98" spans="1:12" hidden="1" x14ac:dyDescent="0.3">
      <c r="A98" s="62"/>
      <c r="L98" s="62" t="s">
        <v>251</v>
      </c>
    </row>
    <row r="99" spans="1:12" x14ac:dyDescent="0.3">
      <c r="A99" s="62" t="s">
        <v>251</v>
      </c>
      <c r="B99" s="62" t="s">
        <v>251</v>
      </c>
      <c r="C99" s="62" t="s">
        <v>251</v>
      </c>
      <c r="D99" s="62" t="s">
        <v>251</v>
      </c>
      <c r="E99" s="62" t="s">
        <v>251</v>
      </c>
      <c r="F99" s="62" t="s">
        <v>251</v>
      </c>
      <c r="G99" s="62" t="s">
        <v>251</v>
      </c>
      <c r="H99" s="62" t="s">
        <v>251</v>
      </c>
      <c r="I99" s="62" t="s">
        <v>251</v>
      </c>
      <c r="J99" s="62" t="s">
        <v>251</v>
      </c>
      <c r="K99" s="62" t="s">
        <v>251</v>
      </c>
      <c r="L99" s="62" t="s">
        <v>251</v>
      </c>
    </row>
  </sheetData>
  <sheetProtection sheet="1" objects="1" scenarios="1"/>
  <mergeCells count="7">
    <mergeCell ref="C27:D28"/>
    <mergeCell ref="C52:J71"/>
    <mergeCell ref="G27:J27"/>
    <mergeCell ref="C12:D12"/>
    <mergeCell ref="C20:D20"/>
    <mergeCell ref="C6:D6"/>
    <mergeCell ref="C3:J3"/>
  </mergeCells>
  <dataValidations count="1">
    <dataValidation type="list" allowBlank="1" showInputMessage="1" showErrorMessage="1" sqref="D29" xr:uid="{F3D3EDCC-BDB7-449A-AF3B-70E63282510B}">
      <formula1>"Conservador,Moderado,Agressivo"</formula1>
    </dataValidation>
  </dataValidations>
  <pageMargins left="0.7" right="0.7" top="0.75" bottom="0.75" header="0.3" footer="0.3"/>
  <pageSetup paperSize="9" orientation="portrait" r:id="rId1"/>
  <ignoredErrors>
    <ignoredError sqref="D22:D25 D30 E33:E38 D39:E39 D33:D38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5D074-70FF-4B1A-BE5F-8274596F449B}">
  <dimension ref="B2:U505"/>
  <sheetViews>
    <sheetView showGridLines="0" workbookViewId="0">
      <selection activeCell="E7" sqref="E7"/>
    </sheetView>
  </sheetViews>
  <sheetFormatPr defaultColWidth="0" defaultRowHeight="14.4" x14ac:dyDescent="0.3"/>
  <cols>
    <col min="1" max="1" width="4.88671875" customWidth="1"/>
    <col min="2" max="2" width="21.109375" style="5" customWidth="1"/>
    <col min="3" max="3" width="19" style="1" bestFit="1" customWidth="1"/>
    <col min="4" max="4" width="10.77734375" style="5" customWidth="1"/>
    <col min="5" max="5" width="13.21875" style="5" bestFit="1" customWidth="1"/>
    <col min="6" max="6" width="11.5546875" style="5" bestFit="1" customWidth="1"/>
    <col min="7" max="12" width="8.88671875" customWidth="1"/>
    <col min="13" max="13" width="5.44140625" customWidth="1"/>
    <col min="14" max="14" width="3.21875" customWidth="1"/>
    <col min="15" max="15" width="3.6640625" customWidth="1"/>
    <col min="16" max="16" width="19" bestFit="1" customWidth="1"/>
    <col min="17" max="17" width="11.6640625" bestFit="1" customWidth="1"/>
    <col min="18" max="19" width="8.88671875" customWidth="1"/>
    <col min="20" max="20" width="8.88671875" hidden="1"/>
    <col min="22" max="16384" width="8.88671875" hidden="1"/>
  </cols>
  <sheetData>
    <row r="2" spans="2:17" ht="61.2" x14ac:dyDescent="0.3">
      <c r="B2" s="11" t="s">
        <v>12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2:17" ht="23.4" x14ac:dyDescent="0.45">
      <c r="B4" s="63" t="s">
        <v>241</v>
      </c>
      <c r="C4" s="63"/>
      <c r="D4" s="63"/>
    </row>
    <row r="6" spans="2:17" x14ac:dyDescent="0.3">
      <c r="B6" s="64" t="s">
        <v>242</v>
      </c>
      <c r="C6" s="64"/>
      <c r="D6" s="51"/>
      <c r="E6" s="51"/>
      <c r="F6" s="51"/>
      <c r="G6" s="65"/>
      <c r="H6" s="65"/>
      <c r="I6" s="65"/>
      <c r="J6" s="65"/>
      <c r="K6" s="65"/>
      <c r="L6" s="66"/>
      <c r="M6" s="66"/>
      <c r="N6" s="66"/>
      <c r="O6" s="58"/>
      <c r="P6" s="58"/>
    </row>
    <row r="7" spans="2:17" x14ac:dyDescent="0.3">
      <c r="B7" s="64" t="s">
        <v>244</v>
      </c>
      <c r="C7" s="64"/>
      <c r="D7" s="51"/>
      <c r="E7" s="51"/>
      <c r="F7" s="51"/>
      <c r="G7" s="65"/>
      <c r="H7" s="65"/>
      <c r="I7" s="65"/>
      <c r="J7" s="65"/>
      <c r="K7" s="65"/>
      <c r="L7" s="66"/>
      <c r="M7" s="66"/>
      <c r="N7" s="66"/>
      <c r="O7" s="58"/>
      <c r="P7" s="58"/>
    </row>
    <row r="8" spans="2:17" x14ac:dyDescent="0.3">
      <c r="B8" s="64" t="s">
        <v>245</v>
      </c>
      <c r="C8" s="64"/>
      <c r="D8" s="51"/>
      <c r="E8" s="51"/>
      <c r="F8" s="51"/>
      <c r="G8" s="65"/>
      <c r="H8" s="65"/>
      <c r="I8" s="65"/>
      <c r="J8" s="65"/>
      <c r="K8" s="65"/>
      <c r="L8" s="66"/>
      <c r="M8" s="66"/>
      <c r="N8" s="66"/>
      <c r="O8" s="58"/>
      <c r="P8" s="58"/>
    </row>
    <row r="9" spans="2:17" x14ac:dyDescent="0.3">
      <c r="B9" s="64" t="s">
        <v>243</v>
      </c>
      <c r="C9" s="64"/>
      <c r="D9" s="51"/>
      <c r="E9" s="51"/>
      <c r="F9" s="51"/>
      <c r="G9" s="65"/>
      <c r="H9" s="65"/>
      <c r="I9" s="65"/>
      <c r="J9" s="65"/>
      <c r="K9" s="65"/>
      <c r="L9" s="66"/>
      <c r="M9" s="66"/>
      <c r="N9" s="66"/>
      <c r="O9" s="58"/>
      <c r="P9" s="58"/>
    </row>
    <row r="10" spans="2:17" x14ac:dyDescent="0.3">
      <c r="B10" s="64" t="s">
        <v>246</v>
      </c>
      <c r="C10" s="64"/>
      <c r="D10" s="51"/>
      <c r="E10" s="51"/>
      <c r="F10" s="51"/>
      <c r="G10" s="65"/>
      <c r="H10" s="65"/>
      <c r="I10" s="65"/>
      <c r="J10" s="65"/>
      <c r="K10" s="65"/>
      <c r="L10" s="66"/>
      <c r="M10" s="66"/>
      <c r="N10" s="66"/>
      <c r="O10" s="58"/>
      <c r="P10" s="58"/>
    </row>
    <row r="11" spans="2:17" x14ac:dyDescent="0.3">
      <c r="B11" s="64" t="s">
        <v>247</v>
      </c>
      <c r="C11" s="64"/>
      <c r="D11" s="51"/>
      <c r="E11" s="51"/>
      <c r="F11" s="51"/>
      <c r="G11" s="65"/>
      <c r="H11" s="65"/>
      <c r="I11" s="65"/>
      <c r="J11" s="65"/>
      <c r="K11" s="65"/>
      <c r="L11" s="66"/>
      <c r="M11" s="66"/>
      <c r="N11" s="66"/>
      <c r="O11" s="58"/>
      <c r="P11" s="58"/>
    </row>
    <row r="12" spans="2:17" ht="15" thickBot="1" x14ac:dyDescent="0.35">
      <c r="B12"/>
      <c r="C12"/>
      <c r="D12" s="7"/>
      <c r="E12" s="7"/>
      <c r="F12" s="7"/>
    </row>
    <row r="13" spans="2:17" ht="15" thickBot="1" x14ac:dyDescent="0.35">
      <c r="B13" s="9" t="s">
        <v>228</v>
      </c>
      <c r="C13" s="9" t="s">
        <v>31</v>
      </c>
      <c r="D13" s="9" t="s">
        <v>229</v>
      </c>
      <c r="E13" s="9" t="s">
        <v>230</v>
      </c>
      <c r="F13" s="9" t="s">
        <v>231</v>
      </c>
      <c r="H13" s="8" t="s">
        <v>240</v>
      </c>
      <c r="I13" s="8"/>
      <c r="J13" s="8"/>
      <c r="K13" s="8"/>
      <c r="L13" s="8"/>
      <c r="M13" s="8"/>
      <c r="P13" s="52" t="s">
        <v>31</v>
      </c>
      <c r="Q13" s="53" t="s">
        <v>22</v>
      </c>
    </row>
    <row r="14" spans="2:17" x14ac:dyDescent="0.3">
      <c r="B14" s="6" t="s">
        <v>235</v>
      </c>
      <c r="C14" s="41" t="str">
        <f>VLOOKUP(B14,'Planilha de Apoio'!G:H,2,0)</f>
        <v>Ações</v>
      </c>
      <c r="D14" s="6">
        <v>400</v>
      </c>
      <c r="E14" s="59">
        <v>5.65</v>
      </c>
      <c r="F14" s="60">
        <f>D14*E14</f>
        <v>2260</v>
      </c>
      <c r="P14" s="56" t="s">
        <v>210</v>
      </c>
      <c r="Q14" s="57">
        <f ca="1">SUMIF(C:F,P14,F:F)</f>
        <v>15000</v>
      </c>
    </row>
    <row r="15" spans="2:17" x14ac:dyDescent="0.3">
      <c r="B15" s="6" t="s">
        <v>71</v>
      </c>
      <c r="C15" s="41" t="str">
        <f>VLOOKUP(B15,'Planilha de Apoio'!G:H,2,0)</f>
        <v>Ações</v>
      </c>
      <c r="D15" s="6">
        <v>200</v>
      </c>
      <c r="E15" s="59">
        <v>6.27</v>
      </c>
      <c r="F15" s="60">
        <f t="shared" ref="F15:F78" si="0">D15*E15</f>
        <v>1254</v>
      </c>
      <c r="P15" s="56" t="s">
        <v>26</v>
      </c>
      <c r="Q15" s="57">
        <f ca="1">SUMIF(C:F,P15,F:F)</f>
        <v>4649</v>
      </c>
    </row>
    <row r="16" spans="2:17" x14ac:dyDescent="0.3">
      <c r="B16" s="6" t="s">
        <v>236</v>
      </c>
      <c r="C16" s="41" t="str">
        <f>VLOOKUP(B16,'Planilha de Apoio'!G:H,2,0)</f>
        <v>Ações</v>
      </c>
      <c r="D16" s="6">
        <v>100</v>
      </c>
      <c r="E16" s="59">
        <v>11.35</v>
      </c>
      <c r="F16" s="60">
        <f t="shared" si="0"/>
        <v>1135</v>
      </c>
      <c r="P16" s="56" t="s">
        <v>27</v>
      </c>
      <c r="Q16" s="57">
        <f ca="1">SUMIF(C:F,P16,F:F)</f>
        <v>4123.2</v>
      </c>
    </row>
    <row r="17" spans="2:17" x14ac:dyDescent="0.3">
      <c r="B17" s="6" t="s">
        <v>237</v>
      </c>
      <c r="C17" s="41" t="str">
        <f>VLOOKUP(B17,'Planilha de Apoio'!G:H,2,0)</f>
        <v>FII's</v>
      </c>
      <c r="D17" s="6">
        <v>270</v>
      </c>
      <c r="E17" s="59">
        <v>9.76</v>
      </c>
      <c r="F17" s="60">
        <f t="shared" si="0"/>
        <v>2635.2</v>
      </c>
      <c r="P17" s="56" t="s">
        <v>28</v>
      </c>
      <c r="Q17" s="57">
        <f ca="1">SUMIF(C:F,P17,F:F)</f>
        <v>4500</v>
      </c>
    </row>
    <row r="18" spans="2:17" x14ac:dyDescent="0.3">
      <c r="B18" s="6" t="s">
        <v>180</v>
      </c>
      <c r="C18" s="41" t="str">
        <f>VLOOKUP(B18,'Planilha de Apoio'!G:H,2,0)</f>
        <v>FII's</v>
      </c>
      <c r="D18" s="6">
        <v>200</v>
      </c>
      <c r="E18" s="59">
        <v>7.44</v>
      </c>
      <c r="F18" s="60">
        <f t="shared" si="0"/>
        <v>1488</v>
      </c>
      <c r="P18" s="56" t="s">
        <v>197</v>
      </c>
      <c r="Q18" s="57">
        <f ca="1">SUMIF(C:F,P18,F:F)</f>
        <v>6250</v>
      </c>
    </row>
    <row r="19" spans="2:17" x14ac:dyDescent="0.3">
      <c r="B19" s="6" t="s">
        <v>151</v>
      </c>
      <c r="C19" s="41" t="str">
        <f>VLOOKUP(B19,'Planilha de Apoio'!G:H,2,0)</f>
        <v>ETF's</v>
      </c>
      <c r="D19" s="6">
        <v>30</v>
      </c>
      <c r="E19" s="59">
        <v>43.1</v>
      </c>
      <c r="F19" s="60">
        <f t="shared" si="0"/>
        <v>1293</v>
      </c>
      <c r="P19" s="56" t="s">
        <v>29</v>
      </c>
      <c r="Q19" s="57">
        <f ca="1">SUMIF(C:F,P19,F:F)</f>
        <v>2453.6</v>
      </c>
    </row>
    <row r="20" spans="2:17" ht="15" thickBot="1" x14ac:dyDescent="0.35">
      <c r="B20" s="6" t="s">
        <v>238</v>
      </c>
      <c r="C20" s="41" t="str">
        <f>VLOOKUP(B20,'Planilha de Apoio'!G:H,2,0)</f>
        <v>ETF's</v>
      </c>
      <c r="D20" s="6">
        <v>20</v>
      </c>
      <c r="E20" s="59">
        <v>58.03</v>
      </c>
      <c r="F20" s="60">
        <f t="shared" si="0"/>
        <v>1160.5999999999999</v>
      </c>
      <c r="P20" s="54" t="s">
        <v>239</v>
      </c>
      <c r="Q20" s="55">
        <f ca="1">SUM(Q14:Q19)</f>
        <v>36975.799999999996</v>
      </c>
    </row>
    <row r="21" spans="2:17" x14ac:dyDescent="0.3">
      <c r="B21" s="6" t="s">
        <v>25</v>
      </c>
      <c r="C21" s="41" t="str">
        <f>VLOOKUP(B21,'Planilha de Apoio'!G:H,2,0)</f>
        <v>Renda Fixa</v>
      </c>
      <c r="D21" s="6">
        <v>1</v>
      </c>
      <c r="E21" s="59">
        <v>15000</v>
      </c>
      <c r="F21" s="60">
        <f t="shared" si="0"/>
        <v>15000</v>
      </c>
    </row>
    <row r="22" spans="2:17" x14ac:dyDescent="0.3">
      <c r="B22" s="6" t="s">
        <v>198</v>
      </c>
      <c r="C22" s="41" t="str">
        <f>VLOOKUP(B22,'Planilha de Apoio'!G:H,2,0)</f>
        <v>Criptomoedas</v>
      </c>
      <c r="D22" s="6">
        <v>0.01</v>
      </c>
      <c r="E22" s="59">
        <v>200000</v>
      </c>
      <c r="F22" s="60">
        <f t="shared" si="0"/>
        <v>2000</v>
      </c>
    </row>
    <row r="23" spans="2:17" x14ac:dyDescent="0.3">
      <c r="B23" s="6" t="s">
        <v>201</v>
      </c>
      <c r="C23" s="41" t="str">
        <f>VLOOKUP(B23,'Planilha de Apoio'!G:H,2,0)</f>
        <v>Criptomoedas</v>
      </c>
      <c r="D23" s="6">
        <v>0.2</v>
      </c>
      <c r="E23" s="59">
        <v>5000</v>
      </c>
      <c r="F23" s="60">
        <f t="shared" si="0"/>
        <v>1000</v>
      </c>
    </row>
    <row r="24" spans="2:17" x14ac:dyDescent="0.3">
      <c r="B24" s="6" t="s">
        <v>199</v>
      </c>
      <c r="C24" s="41" t="str">
        <f>VLOOKUP(B24,'Planilha de Apoio'!G:H,2,0)</f>
        <v>Criptomoedas</v>
      </c>
      <c r="D24" s="6">
        <v>0.1</v>
      </c>
      <c r="E24" s="59">
        <v>15000</v>
      </c>
      <c r="F24" s="60">
        <f t="shared" si="0"/>
        <v>1500</v>
      </c>
    </row>
    <row r="25" spans="2:17" x14ac:dyDescent="0.3">
      <c r="B25" s="6" t="s">
        <v>129</v>
      </c>
      <c r="C25" s="41" t="str">
        <f>VLOOKUP(B25,'Planilha de Apoio'!G:H,2,0)</f>
        <v>Ações Estrangeiras</v>
      </c>
      <c r="D25" s="6">
        <v>25</v>
      </c>
      <c r="E25" s="59">
        <v>250</v>
      </c>
      <c r="F25" s="60">
        <f t="shared" si="0"/>
        <v>6250</v>
      </c>
    </row>
    <row r="26" spans="2:17" x14ac:dyDescent="0.3">
      <c r="B26" s="6"/>
      <c r="C26" s="41" t="e">
        <f>VLOOKUP(B26,'Planilha de Apoio'!G:H,2,0)</f>
        <v>#N/A</v>
      </c>
      <c r="D26" s="6"/>
      <c r="E26" s="59"/>
      <c r="F26" s="60">
        <f t="shared" si="0"/>
        <v>0</v>
      </c>
    </row>
    <row r="27" spans="2:17" x14ac:dyDescent="0.3">
      <c r="B27" s="6"/>
      <c r="C27" s="41" t="e">
        <f>VLOOKUP(B27,'Planilha de Apoio'!G:H,2,0)</f>
        <v>#N/A</v>
      </c>
      <c r="D27" s="6"/>
      <c r="E27" s="59"/>
      <c r="F27" s="60">
        <f t="shared" si="0"/>
        <v>0</v>
      </c>
    </row>
    <row r="28" spans="2:17" x14ac:dyDescent="0.3">
      <c r="B28" s="6"/>
      <c r="C28" s="41" t="e">
        <f>VLOOKUP(B28,'Planilha de Apoio'!G:H,2,0)</f>
        <v>#N/A</v>
      </c>
      <c r="D28" s="6"/>
      <c r="E28" s="59"/>
      <c r="F28" s="60">
        <f t="shared" si="0"/>
        <v>0</v>
      </c>
    </row>
    <row r="29" spans="2:17" x14ac:dyDescent="0.3">
      <c r="B29" s="6"/>
      <c r="C29" s="41" t="e">
        <f>VLOOKUP(B29,'Planilha de Apoio'!G:H,2,0)</f>
        <v>#N/A</v>
      </c>
      <c r="D29" s="6"/>
      <c r="E29" s="59"/>
      <c r="F29" s="60">
        <f t="shared" si="0"/>
        <v>0</v>
      </c>
    </row>
    <row r="30" spans="2:17" x14ac:dyDescent="0.3">
      <c r="B30" s="6"/>
      <c r="C30" s="41" t="e">
        <f>VLOOKUP(B30,'Planilha de Apoio'!G:H,2,0)</f>
        <v>#N/A</v>
      </c>
      <c r="D30" s="6"/>
      <c r="E30" s="59"/>
      <c r="F30" s="60">
        <f t="shared" si="0"/>
        <v>0</v>
      </c>
    </row>
    <row r="31" spans="2:17" x14ac:dyDescent="0.3">
      <c r="B31" s="6"/>
      <c r="C31" s="41" t="e">
        <f>VLOOKUP(B31,'Planilha de Apoio'!G:H,2,0)</f>
        <v>#N/A</v>
      </c>
      <c r="D31" s="6"/>
      <c r="E31" s="59"/>
      <c r="F31" s="60">
        <f t="shared" si="0"/>
        <v>0</v>
      </c>
      <c r="H31" s="8" t="s">
        <v>224</v>
      </c>
      <c r="I31" s="8"/>
      <c r="J31" s="8"/>
      <c r="K31" s="8"/>
      <c r="L31" s="8"/>
      <c r="M31" s="8"/>
    </row>
    <row r="32" spans="2:17" x14ac:dyDescent="0.3">
      <c r="B32" s="6"/>
      <c r="C32" s="41" t="e">
        <f>VLOOKUP(B32,'Planilha de Apoio'!G:H,2,0)</f>
        <v>#N/A</v>
      </c>
      <c r="D32" s="6"/>
      <c r="E32" s="59"/>
      <c r="F32" s="60">
        <f t="shared" si="0"/>
        <v>0</v>
      </c>
    </row>
    <row r="33" spans="2:6" x14ac:dyDescent="0.3">
      <c r="B33" s="6"/>
      <c r="C33" s="41" t="e">
        <f>VLOOKUP(B33,'Planilha de Apoio'!G:H,2,0)</f>
        <v>#N/A</v>
      </c>
      <c r="D33" s="6"/>
      <c r="E33" s="59"/>
      <c r="F33" s="60">
        <f t="shared" si="0"/>
        <v>0</v>
      </c>
    </row>
    <row r="34" spans="2:6" x14ac:dyDescent="0.3">
      <c r="B34" s="6"/>
      <c r="C34" s="41" t="e">
        <f>VLOOKUP(B34,'Planilha de Apoio'!G:H,2,0)</f>
        <v>#N/A</v>
      </c>
      <c r="D34" s="6"/>
      <c r="E34" s="59"/>
      <c r="F34" s="60">
        <f t="shared" si="0"/>
        <v>0</v>
      </c>
    </row>
    <row r="35" spans="2:6" x14ac:dyDescent="0.3">
      <c r="B35" s="6"/>
      <c r="C35" s="41" t="e">
        <f>VLOOKUP(B35,'Planilha de Apoio'!G:H,2,0)</f>
        <v>#N/A</v>
      </c>
      <c r="D35" s="6"/>
      <c r="E35" s="59"/>
      <c r="F35" s="60">
        <f t="shared" si="0"/>
        <v>0</v>
      </c>
    </row>
    <row r="36" spans="2:6" x14ac:dyDescent="0.3">
      <c r="B36" s="6"/>
      <c r="C36" s="41" t="e">
        <f>VLOOKUP(B36,'Planilha de Apoio'!G:H,2,0)</f>
        <v>#N/A</v>
      </c>
      <c r="D36" s="6"/>
      <c r="E36" s="59"/>
      <c r="F36" s="60">
        <f t="shared" si="0"/>
        <v>0</v>
      </c>
    </row>
    <row r="37" spans="2:6" x14ac:dyDescent="0.3">
      <c r="B37" s="6"/>
      <c r="C37" s="41" t="e">
        <f>VLOOKUP(B37,'Planilha de Apoio'!G:H,2,0)</f>
        <v>#N/A</v>
      </c>
      <c r="D37" s="6"/>
      <c r="E37" s="59"/>
      <c r="F37" s="60">
        <f t="shared" si="0"/>
        <v>0</v>
      </c>
    </row>
    <row r="38" spans="2:6" x14ac:dyDescent="0.3">
      <c r="B38" s="6"/>
      <c r="C38" s="41" t="e">
        <f>VLOOKUP(B38,'Planilha de Apoio'!G:H,2,0)</f>
        <v>#N/A</v>
      </c>
      <c r="D38" s="6"/>
      <c r="E38" s="59"/>
      <c r="F38" s="60">
        <f t="shared" si="0"/>
        <v>0</v>
      </c>
    </row>
    <row r="39" spans="2:6" x14ac:dyDescent="0.3">
      <c r="B39" s="6"/>
      <c r="C39" s="41" t="e">
        <f>VLOOKUP(B39,'Planilha de Apoio'!G:H,2,0)</f>
        <v>#N/A</v>
      </c>
      <c r="D39" s="6"/>
      <c r="E39" s="59"/>
      <c r="F39" s="60">
        <f t="shared" si="0"/>
        <v>0</v>
      </c>
    </row>
    <row r="40" spans="2:6" x14ac:dyDescent="0.3">
      <c r="B40" s="6"/>
      <c r="C40" s="41" t="e">
        <f>VLOOKUP(B40,'Planilha de Apoio'!G:H,2,0)</f>
        <v>#N/A</v>
      </c>
      <c r="D40" s="6"/>
      <c r="E40" s="59"/>
      <c r="F40" s="60">
        <f t="shared" si="0"/>
        <v>0</v>
      </c>
    </row>
    <row r="41" spans="2:6" x14ac:dyDescent="0.3">
      <c r="B41" s="6"/>
      <c r="C41" s="41" t="e">
        <f>VLOOKUP(B41,'Planilha de Apoio'!G:H,2,0)</f>
        <v>#N/A</v>
      </c>
      <c r="D41" s="6"/>
      <c r="E41" s="59"/>
      <c r="F41" s="60">
        <f t="shared" si="0"/>
        <v>0</v>
      </c>
    </row>
    <row r="42" spans="2:6" x14ac:dyDescent="0.3">
      <c r="B42" s="6"/>
      <c r="C42" s="41" t="e">
        <f>VLOOKUP(B42,'Planilha de Apoio'!G:H,2,0)</f>
        <v>#N/A</v>
      </c>
      <c r="D42" s="6"/>
      <c r="E42" s="59"/>
      <c r="F42" s="60">
        <f t="shared" si="0"/>
        <v>0</v>
      </c>
    </row>
    <row r="43" spans="2:6" x14ac:dyDescent="0.3">
      <c r="B43" s="6"/>
      <c r="C43" s="41" t="e">
        <f>VLOOKUP(B43,'Planilha de Apoio'!G:H,2,0)</f>
        <v>#N/A</v>
      </c>
      <c r="D43" s="6"/>
      <c r="E43" s="59"/>
      <c r="F43" s="60">
        <f t="shared" si="0"/>
        <v>0</v>
      </c>
    </row>
    <row r="44" spans="2:6" x14ac:dyDescent="0.3">
      <c r="B44" s="6"/>
      <c r="C44" s="41" t="e">
        <f>VLOOKUP(B44,'Planilha de Apoio'!G:H,2,0)</f>
        <v>#N/A</v>
      </c>
      <c r="D44" s="6"/>
      <c r="E44" s="59"/>
      <c r="F44" s="60">
        <f t="shared" si="0"/>
        <v>0</v>
      </c>
    </row>
    <row r="45" spans="2:6" x14ac:dyDescent="0.3">
      <c r="B45" s="6"/>
      <c r="C45" s="41" t="e">
        <f>VLOOKUP(B45,'Planilha de Apoio'!G:H,2,0)</f>
        <v>#N/A</v>
      </c>
      <c r="D45" s="6"/>
      <c r="E45" s="59"/>
      <c r="F45" s="60">
        <f t="shared" si="0"/>
        <v>0</v>
      </c>
    </row>
    <row r="46" spans="2:6" x14ac:dyDescent="0.3">
      <c r="B46" s="6"/>
      <c r="C46" s="41" t="e">
        <f>VLOOKUP(B46,'Planilha de Apoio'!G:H,2,0)</f>
        <v>#N/A</v>
      </c>
      <c r="D46" s="6"/>
      <c r="E46" s="59"/>
      <c r="F46" s="60">
        <f t="shared" si="0"/>
        <v>0</v>
      </c>
    </row>
    <row r="47" spans="2:6" x14ac:dyDescent="0.3">
      <c r="B47" s="6"/>
      <c r="C47" s="41" t="e">
        <f>VLOOKUP(B47,'Planilha de Apoio'!G:H,2,0)</f>
        <v>#N/A</v>
      </c>
      <c r="D47" s="6"/>
      <c r="E47" s="59"/>
      <c r="F47" s="60">
        <f t="shared" si="0"/>
        <v>0</v>
      </c>
    </row>
    <row r="48" spans="2:6" x14ac:dyDescent="0.3">
      <c r="B48" s="6"/>
      <c r="C48" s="41" t="e">
        <f>VLOOKUP(B48,'Planilha de Apoio'!G:H,2,0)</f>
        <v>#N/A</v>
      </c>
      <c r="D48" s="6"/>
      <c r="E48" s="59"/>
      <c r="F48" s="60">
        <f t="shared" si="0"/>
        <v>0</v>
      </c>
    </row>
    <row r="49" spans="2:6" x14ac:dyDescent="0.3">
      <c r="B49" s="6"/>
      <c r="C49" s="41" t="e">
        <f>VLOOKUP(B49,'Planilha de Apoio'!G:H,2,0)</f>
        <v>#N/A</v>
      </c>
      <c r="D49" s="6"/>
      <c r="E49" s="59"/>
      <c r="F49" s="60">
        <f t="shared" si="0"/>
        <v>0</v>
      </c>
    </row>
    <row r="50" spans="2:6" x14ac:dyDescent="0.3">
      <c r="B50" s="6"/>
      <c r="C50" s="41" t="e">
        <f>VLOOKUP(B50,'Planilha de Apoio'!G:H,2,0)</f>
        <v>#N/A</v>
      </c>
      <c r="D50" s="6"/>
      <c r="E50" s="59"/>
      <c r="F50" s="60">
        <f t="shared" si="0"/>
        <v>0</v>
      </c>
    </row>
    <row r="51" spans="2:6" x14ac:dyDescent="0.3">
      <c r="B51" s="6"/>
      <c r="C51" s="41" t="e">
        <f>VLOOKUP(B51,'Planilha de Apoio'!G:H,2,0)</f>
        <v>#N/A</v>
      </c>
      <c r="D51" s="6"/>
      <c r="E51" s="59"/>
      <c r="F51" s="60">
        <f t="shared" si="0"/>
        <v>0</v>
      </c>
    </row>
    <row r="52" spans="2:6" x14ac:dyDescent="0.3">
      <c r="B52" s="6"/>
      <c r="C52" s="41" t="e">
        <f>VLOOKUP(B52,'Planilha de Apoio'!G:H,2,0)</f>
        <v>#N/A</v>
      </c>
      <c r="D52" s="6"/>
      <c r="E52" s="59"/>
      <c r="F52" s="60">
        <f t="shared" si="0"/>
        <v>0</v>
      </c>
    </row>
    <row r="53" spans="2:6" x14ac:dyDescent="0.3">
      <c r="B53" s="6"/>
      <c r="C53" s="41" t="e">
        <f>VLOOKUP(B53,'Planilha de Apoio'!G:H,2,0)</f>
        <v>#N/A</v>
      </c>
      <c r="D53" s="6"/>
      <c r="E53" s="59"/>
      <c r="F53" s="60">
        <f t="shared" si="0"/>
        <v>0</v>
      </c>
    </row>
    <row r="54" spans="2:6" x14ac:dyDescent="0.3">
      <c r="B54" s="6"/>
      <c r="C54" s="41" t="e">
        <f>VLOOKUP(B54,'Planilha de Apoio'!G:H,2,0)</f>
        <v>#N/A</v>
      </c>
      <c r="D54" s="6"/>
      <c r="E54" s="59"/>
      <c r="F54" s="60">
        <f t="shared" si="0"/>
        <v>0</v>
      </c>
    </row>
    <row r="55" spans="2:6" x14ac:dyDescent="0.3">
      <c r="B55" s="6"/>
      <c r="C55" s="41" t="e">
        <f>VLOOKUP(B55,'Planilha de Apoio'!G:H,2,0)</f>
        <v>#N/A</v>
      </c>
      <c r="D55" s="6"/>
      <c r="E55" s="59"/>
      <c r="F55" s="60">
        <f t="shared" si="0"/>
        <v>0</v>
      </c>
    </row>
    <row r="56" spans="2:6" x14ac:dyDescent="0.3">
      <c r="B56" s="6"/>
      <c r="C56" s="41" t="e">
        <f>VLOOKUP(B56,'Planilha de Apoio'!G:H,2,0)</f>
        <v>#N/A</v>
      </c>
      <c r="D56" s="6"/>
      <c r="E56" s="59"/>
      <c r="F56" s="60">
        <f t="shared" si="0"/>
        <v>0</v>
      </c>
    </row>
    <row r="57" spans="2:6" x14ac:dyDescent="0.3">
      <c r="B57" s="6"/>
      <c r="C57" s="41" t="e">
        <f>VLOOKUP(B57,'Planilha de Apoio'!G:H,2,0)</f>
        <v>#N/A</v>
      </c>
      <c r="D57" s="6"/>
      <c r="E57" s="59"/>
      <c r="F57" s="60">
        <f t="shared" si="0"/>
        <v>0</v>
      </c>
    </row>
    <row r="58" spans="2:6" x14ac:dyDescent="0.3">
      <c r="B58" s="6"/>
      <c r="C58" s="41" t="e">
        <f>VLOOKUP(B58,'Planilha de Apoio'!G:H,2,0)</f>
        <v>#N/A</v>
      </c>
      <c r="D58" s="6"/>
      <c r="E58" s="59"/>
      <c r="F58" s="60">
        <f t="shared" si="0"/>
        <v>0</v>
      </c>
    </row>
    <row r="59" spans="2:6" x14ac:dyDescent="0.3">
      <c r="B59" s="6"/>
      <c r="C59" s="41" t="e">
        <f>VLOOKUP(B59,'Planilha de Apoio'!G:H,2,0)</f>
        <v>#N/A</v>
      </c>
      <c r="D59" s="6"/>
      <c r="E59" s="59"/>
      <c r="F59" s="60">
        <f t="shared" si="0"/>
        <v>0</v>
      </c>
    </row>
    <row r="60" spans="2:6" x14ac:dyDescent="0.3">
      <c r="B60" s="6"/>
      <c r="C60" s="41" t="e">
        <f>VLOOKUP(B60,'Planilha de Apoio'!G:H,2,0)</f>
        <v>#N/A</v>
      </c>
      <c r="D60" s="6"/>
      <c r="E60" s="59"/>
      <c r="F60" s="60">
        <f t="shared" si="0"/>
        <v>0</v>
      </c>
    </row>
    <row r="61" spans="2:6" x14ac:dyDescent="0.3">
      <c r="B61" s="6"/>
      <c r="C61" s="41" t="e">
        <f>VLOOKUP(B61,'Planilha de Apoio'!G:H,2,0)</f>
        <v>#N/A</v>
      </c>
      <c r="D61" s="6"/>
      <c r="E61" s="59"/>
      <c r="F61" s="60">
        <f t="shared" si="0"/>
        <v>0</v>
      </c>
    </row>
    <row r="62" spans="2:6" x14ac:dyDescent="0.3">
      <c r="B62" s="6"/>
      <c r="C62" s="41" t="e">
        <f>VLOOKUP(B62,'Planilha de Apoio'!G:H,2,0)</f>
        <v>#N/A</v>
      </c>
      <c r="D62" s="6"/>
      <c r="E62" s="59"/>
      <c r="F62" s="60">
        <f t="shared" si="0"/>
        <v>0</v>
      </c>
    </row>
    <row r="63" spans="2:6" x14ac:dyDescent="0.3">
      <c r="B63" s="6"/>
      <c r="C63" s="41" t="e">
        <f>VLOOKUP(B63,'Planilha de Apoio'!G:H,2,0)</f>
        <v>#N/A</v>
      </c>
      <c r="D63" s="6"/>
      <c r="E63" s="59"/>
      <c r="F63" s="60">
        <f t="shared" si="0"/>
        <v>0</v>
      </c>
    </row>
    <row r="64" spans="2:6" x14ac:dyDescent="0.3">
      <c r="B64" s="6"/>
      <c r="C64" s="41" t="e">
        <f>VLOOKUP(B64,'Planilha de Apoio'!G:H,2,0)</f>
        <v>#N/A</v>
      </c>
      <c r="D64" s="6"/>
      <c r="E64" s="59"/>
      <c r="F64" s="60">
        <f t="shared" si="0"/>
        <v>0</v>
      </c>
    </row>
    <row r="65" spans="2:6" x14ac:dyDescent="0.3">
      <c r="B65" s="6"/>
      <c r="C65" s="41" t="e">
        <f>VLOOKUP(B65,'Planilha de Apoio'!G:H,2,0)</f>
        <v>#N/A</v>
      </c>
      <c r="D65" s="6"/>
      <c r="E65" s="59"/>
      <c r="F65" s="60">
        <f t="shared" si="0"/>
        <v>0</v>
      </c>
    </row>
    <row r="66" spans="2:6" x14ac:dyDescent="0.3">
      <c r="B66" s="6"/>
      <c r="C66" s="41" t="e">
        <f>VLOOKUP(B66,'Planilha de Apoio'!G:H,2,0)</f>
        <v>#N/A</v>
      </c>
      <c r="D66" s="6"/>
      <c r="E66" s="59"/>
      <c r="F66" s="60">
        <f t="shared" si="0"/>
        <v>0</v>
      </c>
    </row>
    <row r="67" spans="2:6" x14ac:dyDescent="0.3">
      <c r="B67" s="6"/>
      <c r="C67" s="41" t="e">
        <f>VLOOKUP(B67,'Planilha de Apoio'!G:H,2,0)</f>
        <v>#N/A</v>
      </c>
      <c r="D67" s="6"/>
      <c r="E67" s="59"/>
      <c r="F67" s="60">
        <f t="shared" si="0"/>
        <v>0</v>
      </c>
    </row>
    <row r="68" spans="2:6" x14ac:dyDescent="0.3">
      <c r="B68" s="6"/>
      <c r="C68" s="41" t="e">
        <f>VLOOKUP(B68,'Planilha de Apoio'!G:H,2,0)</f>
        <v>#N/A</v>
      </c>
      <c r="D68" s="6"/>
      <c r="E68" s="59"/>
      <c r="F68" s="60">
        <f t="shared" si="0"/>
        <v>0</v>
      </c>
    </row>
    <row r="69" spans="2:6" x14ac:dyDescent="0.3">
      <c r="B69" s="6"/>
      <c r="C69" s="41" t="e">
        <f>VLOOKUP(B69,'Planilha de Apoio'!G:H,2,0)</f>
        <v>#N/A</v>
      </c>
      <c r="D69" s="6"/>
      <c r="E69" s="59"/>
      <c r="F69" s="60">
        <f t="shared" si="0"/>
        <v>0</v>
      </c>
    </row>
    <row r="70" spans="2:6" x14ac:dyDescent="0.3">
      <c r="B70" s="6"/>
      <c r="C70" s="41" t="e">
        <f>VLOOKUP(B70,'Planilha de Apoio'!G:H,2,0)</f>
        <v>#N/A</v>
      </c>
      <c r="D70" s="6"/>
      <c r="E70" s="59"/>
      <c r="F70" s="60">
        <f t="shared" si="0"/>
        <v>0</v>
      </c>
    </row>
    <row r="71" spans="2:6" x14ac:dyDescent="0.3">
      <c r="B71" s="6"/>
      <c r="C71" s="41" t="e">
        <f>VLOOKUP(B71,'Planilha de Apoio'!G:H,2,0)</f>
        <v>#N/A</v>
      </c>
      <c r="D71" s="6"/>
      <c r="E71" s="59"/>
      <c r="F71" s="60">
        <f t="shared" si="0"/>
        <v>0</v>
      </c>
    </row>
    <row r="72" spans="2:6" x14ac:dyDescent="0.3">
      <c r="B72" s="6"/>
      <c r="C72" s="41" t="e">
        <f>VLOOKUP(B72,'Planilha de Apoio'!G:H,2,0)</f>
        <v>#N/A</v>
      </c>
      <c r="D72" s="6"/>
      <c r="E72" s="59"/>
      <c r="F72" s="60">
        <f t="shared" si="0"/>
        <v>0</v>
      </c>
    </row>
    <row r="73" spans="2:6" x14ac:dyDescent="0.3">
      <c r="B73" s="6"/>
      <c r="C73" s="41" t="e">
        <f>VLOOKUP(B73,'Planilha de Apoio'!G:H,2,0)</f>
        <v>#N/A</v>
      </c>
      <c r="D73" s="6"/>
      <c r="E73" s="59"/>
      <c r="F73" s="60">
        <f t="shared" si="0"/>
        <v>0</v>
      </c>
    </row>
    <row r="74" spans="2:6" x14ac:dyDescent="0.3">
      <c r="B74" s="6"/>
      <c r="C74" s="41" t="e">
        <f>VLOOKUP(B74,'Planilha de Apoio'!G:H,2,0)</f>
        <v>#N/A</v>
      </c>
      <c r="D74" s="6"/>
      <c r="E74" s="59"/>
      <c r="F74" s="60">
        <f t="shared" si="0"/>
        <v>0</v>
      </c>
    </row>
    <row r="75" spans="2:6" x14ac:dyDescent="0.3">
      <c r="B75" s="6"/>
      <c r="C75" s="41" t="e">
        <f>VLOOKUP(B75,'Planilha de Apoio'!G:H,2,0)</f>
        <v>#N/A</v>
      </c>
      <c r="D75" s="6"/>
      <c r="E75" s="59"/>
      <c r="F75" s="60">
        <f t="shared" si="0"/>
        <v>0</v>
      </c>
    </row>
    <row r="76" spans="2:6" x14ac:dyDescent="0.3">
      <c r="B76" s="6"/>
      <c r="C76" s="41" t="e">
        <f>VLOOKUP(B76,'Planilha de Apoio'!G:H,2,0)</f>
        <v>#N/A</v>
      </c>
      <c r="D76" s="6"/>
      <c r="E76" s="59"/>
      <c r="F76" s="60">
        <f t="shared" si="0"/>
        <v>0</v>
      </c>
    </row>
    <row r="77" spans="2:6" x14ac:dyDescent="0.3">
      <c r="B77" s="6"/>
      <c r="C77" s="41" t="e">
        <f>VLOOKUP(B77,'Planilha de Apoio'!G:H,2,0)</f>
        <v>#N/A</v>
      </c>
      <c r="D77" s="6"/>
      <c r="E77" s="59"/>
      <c r="F77" s="60">
        <f t="shared" si="0"/>
        <v>0</v>
      </c>
    </row>
    <row r="78" spans="2:6" x14ac:dyDescent="0.3">
      <c r="B78" s="6"/>
      <c r="C78" s="41" t="e">
        <f>VLOOKUP(B78,'Planilha de Apoio'!G:H,2,0)</f>
        <v>#N/A</v>
      </c>
      <c r="D78" s="6"/>
      <c r="E78" s="59"/>
      <c r="F78" s="60">
        <f t="shared" si="0"/>
        <v>0</v>
      </c>
    </row>
    <row r="79" spans="2:6" x14ac:dyDescent="0.3">
      <c r="B79" s="6"/>
      <c r="C79" s="41" t="e">
        <f>VLOOKUP(B79,'Planilha de Apoio'!G:H,2,0)</f>
        <v>#N/A</v>
      </c>
      <c r="D79" s="6"/>
      <c r="E79" s="59"/>
      <c r="F79" s="60">
        <f t="shared" ref="F79:F142" si="1">D79*E79</f>
        <v>0</v>
      </c>
    </row>
    <row r="80" spans="2:6" x14ac:dyDescent="0.3">
      <c r="B80" s="6"/>
      <c r="C80" s="41" t="e">
        <f>VLOOKUP(B80,'Planilha de Apoio'!G:H,2,0)</f>
        <v>#N/A</v>
      </c>
      <c r="D80" s="6"/>
      <c r="E80" s="59"/>
      <c r="F80" s="60">
        <f t="shared" si="1"/>
        <v>0</v>
      </c>
    </row>
    <row r="81" spans="2:6" x14ac:dyDescent="0.3">
      <c r="B81" s="6"/>
      <c r="C81" s="41" t="e">
        <f>VLOOKUP(B81,'Planilha de Apoio'!G:H,2,0)</f>
        <v>#N/A</v>
      </c>
      <c r="D81" s="6"/>
      <c r="E81" s="59"/>
      <c r="F81" s="60">
        <f t="shared" si="1"/>
        <v>0</v>
      </c>
    </row>
    <row r="82" spans="2:6" x14ac:dyDescent="0.3">
      <c r="B82" s="6"/>
      <c r="C82" s="41" t="e">
        <f>VLOOKUP(B82,'Planilha de Apoio'!G:H,2,0)</f>
        <v>#N/A</v>
      </c>
      <c r="D82" s="6"/>
      <c r="E82" s="59"/>
      <c r="F82" s="60">
        <f t="shared" si="1"/>
        <v>0</v>
      </c>
    </row>
    <row r="83" spans="2:6" x14ac:dyDescent="0.3">
      <c r="B83" s="6"/>
      <c r="C83" s="41" t="e">
        <f>VLOOKUP(B83,'Planilha de Apoio'!G:H,2,0)</f>
        <v>#N/A</v>
      </c>
      <c r="D83" s="6"/>
      <c r="E83" s="59"/>
      <c r="F83" s="60">
        <f t="shared" si="1"/>
        <v>0</v>
      </c>
    </row>
    <row r="84" spans="2:6" x14ac:dyDescent="0.3">
      <c r="B84" s="6"/>
      <c r="C84" s="41" t="e">
        <f>VLOOKUP(B84,'Planilha de Apoio'!G:H,2,0)</f>
        <v>#N/A</v>
      </c>
      <c r="D84" s="6"/>
      <c r="E84" s="59"/>
      <c r="F84" s="60">
        <f t="shared" si="1"/>
        <v>0</v>
      </c>
    </row>
    <row r="85" spans="2:6" x14ac:dyDescent="0.3">
      <c r="B85" s="6"/>
      <c r="C85" s="41" t="e">
        <f>VLOOKUP(B85,'Planilha de Apoio'!G:H,2,0)</f>
        <v>#N/A</v>
      </c>
      <c r="D85" s="6"/>
      <c r="E85" s="59"/>
      <c r="F85" s="60">
        <f t="shared" si="1"/>
        <v>0</v>
      </c>
    </row>
    <row r="86" spans="2:6" x14ac:dyDescent="0.3">
      <c r="B86" s="6"/>
      <c r="C86" s="41" t="e">
        <f>VLOOKUP(B86,'Planilha de Apoio'!G:H,2,0)</f>
        <v>#N/A</v>
      </c>
      <c r="D86" s="6"/>
      <c r="E86" s="59"/>
      <c r="F86" s="60">
        <f t="shared" si="1"/>
        <v>0</v>
      </c>
    </row>
    <row r="87" spans="2:6" x14ac:dyDescent="0.3">
      <c r="B87" s="6"/>
      <c r="C87" s="41" t="e">
        <f>VLOOKUP(B87,'Planilha de Apoio'!G:H,2,0)</f>
        <v>#N/A</v>
      </c>
      <c r="D87" s="6"/>
      <c r="E87" s="59"/>
      <c r="F87" s="60">
        <f t="shared" si="1"/>
        <v>0</v>
      </c>
    </row>
    <row r="88" spans="2:6" x14ac:dyDescent="0.3">
      <c r="B88" s="6"/>
      <c r="C88" s="41" t="e">
        <f>VLOOKUP(B88,'Planilha de Apoio'!G:H,2,0)</f>
        <v>#N/A</v>
      </c>
      <c r="D88" s="6"/>
      <c r="E88" s="59"/>
      <c r="F88" s="60">
        <f t="shared" si="1"/>
        <v>0</v>
      </c>
    </row>
    <row r="89" spans="2:6" x14ac:dyDescent="0.3">
      <c r="B89" s="6"/>
      <c r="C89" s="41" t="e">
        <f>VLOOKUP(B89,'Planilha de Apoio'!G:H,2,0)</f>
        <v>#N/A</v>
      </c>
      <c r="D89" s="6"/>
      <c r="E89" s="59"/>
      <c r="F89" s="60">
        <f t="shared" si="1"/>
        <v>0</v>
      </c>
    </row>
    <row r="90" spans="2:6" x14ac:dyDescent="0.3">
      <c r="B90" s="6"/>
      <c r="C90" s="41" t="e">
        <f>VLOOKUP(B90,'Planilha de Apoio'!G:H,2,0)</f>
        <v>#N/A</v>
      </c>
      <c r="D90" s="6"/>
      <c r="E90" s="59"/>
      <c r="F90" s="60">
        <f t="shared" si="1"/>
        <v>0</v>
      </c>
    </row>
    <row r="91" spans="2:6" x14ac:dyDescent="0.3">
      <c r="B91" s="6"/>
      <c r="C91" s="41" t="e">
        <f>VLOOKUP(B91,'Planilha de Apoio'!G:H,2,0)</f>
        <v>#N/A</v>
      </c>
      <c r="D91" s="6"/>
      <c r="E91" s="59"/>
      <c r="F91" s="60">
        <f t="shared" si="1"/>
        <v>0</v>
      </c>
    </row>
    <row r="92" spans="2:6" x14ac:dyDescent="0.3">
      <c r="B92" s="6"/>
      <c r="C92" s="41" t="e">
        <f>VLOOKUP(B92,'Planilha de Apoio'!G:H,2,0)</f>
        <v>#N/A</v>
      </c>
      <c r="D92" s="6"/>
      <c r="E92" s="59"/>
      <c r="F92" s="60">
        <f t="shared" si="1"/>
        <v>0</v>
      </c>
    </row>
    <row r="93" spans="2:6" x14ac:dyDescent="0.3">
      <c r="B93" s="6"/>
      <c r="C93" s="41" t="e">
        <f>VLOOKUP(B93,'Planilha de Apoio'!G:H,2,0)</f>
        <v>#N/A</v>
      </c>
      <c r="D93" s="6"/>
      <c r="E93" s="59"/>
      <c r="F93" s="60">
        <f t="shared" si="1"/>
        <v>0</v>
      </c>
    </row>
    <row r="94" spans="2:6" x14ac:dyDescent="0.3">
      <c r="B94" s="6"/>
      <c r="C94" s="41" t="e">
        <f>VLOOKUP(B94,'Planilha de Apoio'!G:H,2,0)</f>
        <v>#N/A</v>
      </c>
      <c r="D94" s="6"/>
      <c r="E94" s="59"/>
      <c r="F94" s="60">
        <f t="shared" si="1"/>
        <v>0</v>
      </c>
    </row>
    <row r="95" spans="2:6" x14ac:dyDescent="0.3">
      <c r="B95" s="6"/>
      <c r="C95" s="41" t="e">
        <f>VLOOKUP(B95,'Planilha de Apoio'!G:H,2,0)</f>
        <v>#N/A</v>
      </c>
      <c r="D95" s="6"/>
      <c r="E95" s="59"/>
      <c r="F95" s="60">
        <f t="shared" si="1"/>
        <v>0</v>
      </c>
    </row>
    <row r="96" spans="2:6" x14ac:dyDescent="0.3">
      <c r="B96" s="6"/>
      <c r="C96" s="41" t="e">
        <f>VLOOKUP(B96,'Planilha de Apoio'!G:H,2,0)</f>
        <v>#N/A</v>
      </c>
      <c r="D96" s="6"/>
      <c r="E96" s="59"/>
      <c r="F96" s="60">
        <f t="shared" si="1"/>
        <v>0</v>
      </c>
    </row>
    <row r="97" spans="2:6" x14ac:dyDescent="0.3">
      <c r="B97" s="6"/>
      <c r="C97" s="41" t="e">
        <f>VLOOKUP(B97,'Planilha de Apoio'!G:H,2,0)</f>
        <v>#N/A</v>
      </c>
      <c r="D97" s="6"/>
      <c r="E97" s="59"/>
      <c r="F97" s="60">
        <f t="shared" si="1"/>
        <v>0</v>
      </c>
    </row>
    <row r="98" spans="2:6" x14ac:dyDescent="0.3">
      <c r="B98" s="6"/>
      <c r="C98" s="41" t="e">
        <f>VLOOKUP(B98,'Planilha de Apoio'!G:H,2,0)</f>
        <v>#N/A</v>
      </c>
      <c r="D98" s="6"/>
      <c r="E98" s="59"/>
      <c r="F98" s="60">
        <f t="shared" si="1"/>
        <v>0</v>
      </c>
    </row>
    <row r="99" spans="2:6" x14ac:dyDescent="0.3">
      <c r="B99" s="6"/>
      <c r="C99" s="41" t="e">
        <f>VLOOKUP(B99,'Planilha de Apoio'!G:H,2,0)</f>
        <v>#N/A</v>
      </c>
      <c r="D99" s="6"/>
      <c r="E99" s="59"/>
      <c r="F99" s="60">
        <f t="shared" si="1"/>
        <v>0</v>
      </c>
    </row>
    <row r="100" spans="2:6" x14ac:dyDescent="0.3">
      <c r="B100" s="6"/>
      <c r="C100" s="41" t="e">
        <f>VLOOKUP(B100,'Planilha de Apoio'!G:H,2,0)</f>
        <v>#N/A</v>
      </c>
      <c r="D100" s="6"/>
      <c r="E100" s="59"/>
      <c r="F100" s="60">
        <f t="shared" si="1"/>
        <v>0</v>
      </c>
    </row>
    <row r="101" spans="2:6" x14ac:dyDescent="0.3">
      <c r="B101" s="6"/>
      <c r="C101" s="41" t="e">
        <f>VLOOKUP(B101,'Planilha de Apoio'!G:H,2,0)</f>
        <v>#N/A</v>
      </c>
      <c r="D101" s="6"/>
      <c r="E101" s="59"/>
      <c r="F101" s="60">
        <f t="shared" si="1"/>
        <v>0</v>
      </c>
    </row>
    <row r="102" spans="2:6" x14ac:dyDescent="0.3">
      <c r="B102" s="6"/>
      <c r="C102" s="41" t="e">
        <f>VLOOKUP(B102,'Planilha de Apoio'!G:H,2,0)</f>
        <v>#N/A</v>
      </c>
      <c r="D102" s="6"/>
      <c r="E102" s="59"/>
      <c r="F102" s="60">
        <f t="shared" si="1"/>
        <v>0</v>
      </c>
    </row>
    <row r="103" spans="2:6" x14ac:dyDescent="0.3">
      <c r="B103" s="6"/>
      <c r="C103" s="41" t="e">
        <f>VLOOKUP(B103,'Planilha de Apoio'!G:H,2,0)</f>
        <v>#N/A</v>
      </c>
      <c r="D103" s="6"/>
      <c r="E103" s="59"/>
      <c r="F103" s="60">
        <f t="shared" si="1"/>
        <v>0</v>
      </c>
    </row>
    <row r="104" spans="2:6" x14ac:dyDescent="0.3">
      <c r="B104" s="6"/>
      <c r="C104" s="41" t="e">
        <f>VLOOKUP(B104,'Planilha de Apoio'!G:H,2,0)</f>
        <v>#N/A</v>
      </c>
      <c r="D104" s="6"/>
      <c r="E104" s="59"/>
      <c r="F104" s="60">
        <f t="shared" si="1"/>
        <v>0</v>
      </c>
    </row>
    <row r="105" spans="2:6" x14ac:dyDescent="0.3">
      <c r="B105" s="6"/>
      <c r="C105" s="41" t="e">
        <f>VLOOKUP(B105,'Planilha de Apoio'!G:H,2,0)</f>
        <v>#N/A</v>
      </c>
      <c r="D105" s="6"/>
      <c r="E105" s="59"/>
      <c r="F105" s="60">
        <f t="shared" si="1"/>
        <v>0</v>
      </c>
    </row>
    <row r="106" spans="2:6" x14ac:dyDescent="0.3">
      <c r="B106" s="6"/>
      <c r="C106" s="41" t="e">
        <f>VLOOKUP(B106,'Planilha de Apoio'!G:H,2,0)</f>
        <v>#N/A</v>
      </c>
      <c r="D106" s="6"/>
      <c r="E106" s="59"/>
      <c r="F106" s="60">
        <f t="shared" si="1"/>
        <v>0</v>
      </c>
    </row>
    <row r="107" spans="2:6" x14ac:dyDescent="0.3">
      <c r="B107" s="6"/>
      <c r="C107" s="41" t="e">
        <f>VLOOKUP(B107,'Planilha de Apoio'!G:H,2,0)</f>
        <v>#N/A</v>
      </c>
      <c r="D107" s="6"/>
      <c r="E107" s="59"/>
      <c r="F107" s="60">
        <f t="shared" si="1"/>
        <v>0</v>
      </c>
    </row>
    <row r="108" spans="2:6" x14ac:dyDescent="0.3">
      <c r="B108" s="6"/>
      <c r="C108" s="41" t="e">
        <f>VLOOKUP(B108,'Planilha de Apoio'!G:H,2,0)</f>
        <v>#N/A</v>
      </c>
      <c r="D108" s="6"/>
      <c r="E108" s="59"/>
      <c r="F108" s="60">
        <f t="shared" si="1"/>
        <v>0</v>
      </c>
    </row>
    <row r="109" spans="2:6" x14ac:dyDescent="0.3">
      <c r="B109" s="6"/>
      <c r="C109" s="41" t="e">
        <f>VLOOKUP(B109,'Planilha de Apoio'!G:H,2,0)</f>
        <v>#N/A</v>
      </c>
      <c r="D109" s="6"/>
      <c r="E109" s="59"/>
      <c r="F109" s="60">
        <f t="shared" si="1"/>
        <v>0</v>
      </c>
    </row>
    <row r="110" spans="2:6" x14ac:dyDescent="0.3">
      <c r="B110" s="6"/>
      <c r="C110" s="41" t="e">
        <f>VLOOKUP(B110,'Planilha de Apoio'!G:H,2,0)</f>
        <v>#N/A</v>
      </c>
      <c r="D110" s="6"/>
      <c r="E110" s="59"/>
      <c r="F110" s="60">
        <f t="shared" si="1"/>
        <v>0</v>
      </c>
    </row>
    <row r="111" spans="2:6" x14ac:dyDescent="0.3">
      <c r="B111" s="6"/>
      <c r="C111" s="41" t="e">
        <f>VLOOKUP(B111,'Planilha de Apoio'!G:H,2,0)</f>
        <v>#N/A</v>
      </c>
      <c r="D111" s="6"/>
      <c r="E111" s="59"/>
      <c r="F111" s="60">
        <f t="shared" si="1"/>
        <v>0</v>
      </c>
    </row>
    <row r="112" spans="2:6" x14ac:dyDescent="0.3">
      <c r="B112" s="6"/>
      <c r="C112" s="41" t="e">
        <f>VLOOKUP(B112,'Planilha de Apoio'!G:H,2,0)</f>
        <v>#N/A</v>
      </c>
      <c r="D112" s="6"/>
      <c r="E112" s="59"/>
      <c r="F112" s="60">
        <f t="shared" si="1"/>
        <v>0</v>
      </c>
    </row>
    <row r="113" spans="2:6" x14ac:dyDescent="0.3">
      <c r="B113" s="6"/>
      <c r="C113" s="41" t="e">
        <f>VLOOKUP(B113,'Planilha de Apoio'!G:H,2,0)</f>
        <v>#N/A</v>
      </c>
      <c r="D113" s="6"/>
      <c r="E113" s="59"/>
      <c r="F113" s="60">
        <f t="shared" si="1"/>
        <v>0</v>
      </c>
    </row>
    <row r="114" spans="2:6" x14ac:dyDescent="0.3">
      <c r="B114" s="6"/>
      <c r="C114" s="41" t="e">
        <f>VLOOKUP(B114,'Planilha de Apoio'!G:H,2,0)</f>
        <v>#N/A</v>
      </c>
      <c r="D114" s="6"/>
      <c r="E114" s="59"/>
      <c r="F114" s="60">
        <f t="shared" si="1"/>
        <v>0</v>
      </c>
    </row>
    <row r="115" spans="2:6" x14ac:dyDescent="0.3">
      <c r="B115" s="6"/>
      <c r="C115" s="41" t="e">
        <f>VLOOKUP(B115,'Planilha de Apoio'!G:H,2,0)</f>
        <v>#N/A</v>
      </c>
      <c r="D115" s="6"/>
      <c r="E115" s="59"/>
      <c r="F115" s="60">
        <f t="shared" si="1"/>
        <v>0</v>
      </c>
    </row>
    <row r="116" spans="2:6" x14ac:dyDescent="0.3">
      <c r="B116" s="6"/>
      <c r="C116" s="41" t="e">
        <f>VLOOKUP(B116,'Planilha de Apoio'!G:H,2,0)</f>
        <v>#N/A</v>
      </c>
      <c r="D116" s="6"/>
      <c r="E116" s="59"/>
      <c r="F116" s="60">
        <f t="shared" si="1"/>
        <v>0</v>
      </c>
    </row>
    <row r="117" spans="2:6" x14ac:dyDescent="0.3">
      <c r="B117" s="6"/>
      <c r="C117" s="41" t="e">
        <f>VLOOKUP(B117,'Planilha de Apoio'!G:H,2,0)</f>
        <v>#N/A</v>
      </c>
      <c r="D117" s="6"/>
      <c r="E117" s="59"/>
      <c r="F117" s="60">
        <f t="shared" si="1"/>
        <v>0</v>
      </c>
    </row>
    <row r="118" spans="2:6" x14ac:dyDescent="0.3">
      <c r="B118" s="6"/>
      <c r="C118" s="41" t="e">
        <f>VLOOKUP(B118,'Planilha de Apoio'!G:H,2,0)</f>
        <v>#N/A</v>
      </c>
      <c r="D118" s="6"/>
      <c r="E118" s="59"/>
      <c r="F118" s="60">
        <f t="shared" si="1"/>
        <v>0</v>
      </c>
    </row>
    <row r="119" spans="2:6" x14ac:dyDescent="0.3">
      <c r="B119" s="6"/>
      <c r="C119" s="41" t="e">
        <f>VLOOKUP(B119,'Planilha de Apoio'!G:H,2,0)</f>
        <v>#N/A</v>
      </c>
      <c r="D119" s="6"/>
      <c r="E119" s="59"/>
      <c r="F119" s="60">
        <f t="shared" si="1"/>
        <v>0</v>
      </c>
    </row>
    <row r="120" spans="2:6" x14ac:dyDescent="0.3">
      <c r="B120" s="6"/>
      <c r="C120" s="41" t="e">
        <f>VLOOKUP(B120,'Planilha de Apoio'!G:H,2,0)</f>
        <v>#N/A</v>
      </c>
      <c r="D120" s="6"/>
      <c r="E120" s="59"/>
      <c r="F120" s="60">
        <f t="shared" si="1"/>
        <v>0</v>
      </c>
    </row>
    <row r="121" spans="2:6" x14ac:dyDescent="0.3">
      <c r="B121" s="6"/>
      <c r="C121" s="41" t="e">
        <f>VLOOKUP(B121,'Planilha de Apoio'!G:H,2,0)</f>
        <v>#N/A</v>
      </c>
      <c r="D121" s="6"/>
      <c r="E121" s="59"/>
      <c r="F121" s="60">
        <f t="shared" si="1"/>
        <v>0</v>
      </c>
    </row>
    <row r="122" spans="2:6" x14ac:dyDescent="0.3">
      <c r="B122" s="6"/>
      <c r="C122" s="41" t="e">
        <f>VLOOKUP(B122,'Planilha de Apoio'!G:H,2,0)</f>
        <v>#N/A</v>
      </c>
      <c r="D122" s="6"/>
      <c r="E122" s="59"/>
      <c r="F122" s="60">
        <f t="shared" si="1"/>
        <v>0</v>
      </c>
    </row>
    <row r="123" spans="2:6" x14ac:dyDescent="0.3">
      <c r="B123" s="6"/>
      <c r="C123" s="41" t="e">
        <f>VLOOKUP(B123,'Planilha de Apoio'!G:H,2,0)</f>
        <v>#N/A</v>
      </c>
      <c r="D123" s="6"/>
      <c r="E123" s="59"/>
      <c r="F123" s="60">
        <f t="shared" si="1"/>
        <v>0</v>
      </c>
    </row>
    <row r="124" spans="2:6" x14ac:dyDescent="0.3">
      <c r="B124" s="6"/>
      <c r="C124" s="41" t="e">
        <f>VLOOKUP(B124,'Planilha de Apoio'!G:H,2,0)</f>
        <v>#N/A</v>
      </c>
      <c r="D124" s="6"/>
      <c r="E124" s="59"/>
      <c r="F124" s="60">
        <f t="shared" si="1"/>
        <v>0</v>
      </c>
    </row>
    <row r="125" spans="2:6" x14ac:dyDescent="0.3">
      <c r="B125" s="6"/>
      <c r="C125" s="41" t="e">
        <f>VLOOKUP(B125,'Planilha de Apoio'!G:H,2,0)</f>
        <v>#N/A</v>
      </c>
      <c r="D125" s="6"/>
      <c r="E125" s="59"/>
      <c r="F125" s="60">
        <f t="shared" si="1"/>
        <v>0</v>
      </c>
    </row>
    <row r="126" spans="2:6" x14ac:dyDescent="0.3">
      <c r="B126" s="6"/>
      <c r="C126" s="41" t="e">
        <f>VLOOKUP(B126,'Planilha de Apoio'!G:H,2,0)</f>
        <v>#N/A</v>
      </c>
      <c r="D126" s="6"/>
      <c r="E126" s="59"/>
      <c r="F126" s="60">
        <f t="shared" si="1"/>
        <v>0</v>
      </c>
    </row>
    <row r="127" spans="2:6" x14ac:dyDescent="0.3">
      <c r="B127" s="6"/>
      <c r="C127" s="41" t="e">
        <f>VLOOKUP(B127,'Planilha de Apoio'!G:H,2,0)</f>
        <v>#N/A</v>
      </c>
      <c r="D127" s="6"/>
      <c r="E127" s="59"/>
      <c r="F127" s="60">
        <f t="shared" si="1"/>
        <v>0</v>
      </c>
    </row>
    <row r="128" spans="2:6" x14ac:dyDescent="0.3">
      <c r="B128" s="6"/>
      <c r="C128" s="41" t="e">
        <f>VLOOKUP(B128,'Planilha de Apoio'!G:H,2,0)</f>
        <v>#N/A</v>
      </c>
      <c r="D128" s="6"/>
      <c r="E128" s="59"/>
      <c r="F128" s="60">
        <f t="shared" si="1"/>
        <v>0</v>
      </c>
    </row>
    <row r="129" spans="2:6" x14ac:dyDescent="0.3">
      <c r="B129" s="6"/>
      <c r="C129" s="41" t="e">
        <f>VLOOKUP(B129,'Planilha de Apoio'!G:H,2,0)</f>
        <v>#N/A</v>
      </c>
      <c r="D129" s="6"/>
      <c r="E129" s="59"/>
      <c r="F129" s="60">
        <f t="shared" si="1"/>
        <v>0</v>
      </c>
    </row>
    <row r="130" spans="2:6" x14ac:dyDescent="0.3">
      <c r="B130" s="6"/>
      <c r="C130" s="41" t="e">
        <f>VLOOKUP(B130,'Planilha de Apoio'!G:H,2,0)</f>
        <v>#N/A</v>
      </c>
      <c r="D130" s="6"/>
      <c r="E130" s="59"/>
      <c r="F130" s="60">
        <f t="shared" si="1"/>
        <v>0</v>
      </c>
    </row>
    <row r="131" spans="2:6" x14ac:dyDescent="0.3">
      <c r="B131" s="6"/>
      <c r="C131" s="41" t="e">
        <f>VLOOKUP(B131,'Planilha de Apoio'!G:H,2,0)</f>
        <v>#N/A</v>
      </c>
      <c r="D131" s="6"/>
      <c r="E131" s="59"/>
      <c r="F131" s="60">
        <f t="shared" si="1"/>
        <v>0</v>
      </c>
    </row>
    <row r="132" spans="2:6" x14ac:dyDescent="0.3">
      <c r="B132" s="6"/>
      <c r="C132" s="41" t="e">
        <f>VLOOKUP(B132,'Planilha de Apoio'!G:H,2,0)</f>
        <v>#N/A</v>
      </c>
      <c r="D132" s="6"/>
      <c r="E132" s="59"/>
      <c r="F132" s="60">
        <f t="shared" si="1"/>
        <v>0</v>
      </c>
    </row>
    <row r="133" spans="2:6" x14ac:dyDescent="0.3">
      <c r="B133" s="6"/>
      <c r="C133" s="41" t="e">
        <f>VLOOKUP(B133,'Planilha de Apoio'!G:H,2,0)</f>
        <v>#N/A</v>
      </c>
      <c r="D133" s="6"/>
      <c r="E133" s="59"/>
      <c r="F133" s="60">
        <f t="shared" si="1"/>
        <v>0</v>
      </c>
    </row>
    <row r="134" spans="2:6" x14ac:dyDescent="0.3">
      <c r="B134" s="6"/>
      <c r="C134" s="41" t="e">
        <f>VLOOKUP(B134,'Planilha de Apoio'!G:H,2,0)</f>
        <v>#N/A</v>
      </c>
      <c r="D134" s="6"/>
      <c r="E134" s="59"/>
      <c r="F134" s="60">
        <f t="shared" si="1"/>
        <v>0</v>
      </c>
    </row>
    <row r="135" spans="2:6" x14ac:dyDescent="0.3">
      <c r="B135" s="6"/>
      <c r="C135" s="41" t="e">
        <f>VLOOKUP(B135,'Planilha de Apoio'!G:H,2,0)</f>
        <v>#N/A</v>
      </c>
      <c r="D135" s="6"/>
      <c r="E135" s="59"/>
      <c r="F135" s="60">
        <f t="shared" si="1"/>
        <v>0</v>
      </c>
    </row>
    <row r="136" spans="2:6" x14ac:dyDescent="0.3">
      <c r="B136" s="6"/>
      <c r="C136" s="41" t="e">
        <f>VLOOKUP(B136,'Planilha de Apoio'!G:H,2,0)</f>
        <v>#N/A</v>
      </c>
      <c r="D136" s="6"/>
      <c r="E136" s="59"/>
      <c r="F136" s="60">
        <f t="shared" si="1"/>
        <v>0</v>
      </c>
    </row>
    <row r="137" spans="2:6" x14ac:dyDescent="0.3">
      <c r="B137" s="6"/>
      <c r="C137" s="41" t="e">
        <f>VLOOKUP(B137,'Planilha de Apoio'!G:H,2,0)</f>
        <v>#N/A</v>
      </c>
      <c r="D137" s="6"/>
      <c r="E137" s="59"/>
      <c r="F137" s="60">
        <f t="shared" si="1"/>
        <v>0</v>
      </c>
    </row>
    <row r="138" spans="2:6" x14ac:dyDescent="0.3">
      <c r="B138" s="6"/>
      <c r="C138" s="41" t="e">
        <f>VLOOKUP(B138,'Planilha de Apoio'!G:H,2,0)</f>
        <v>#N/A</v>
      </c>
      <c r="D138" s="6"/>
      <c r="E138" s="59"/>
      <c r="F138" s="60">
        <f t="shared" si="1"/>
        <v>0</v>
      </c>
    </row>
    <row r="139" spans="2:6" x14ac:dyDescent="0.3">
      <c r="B139" s="6"/>
      <c r="C139" s="41" t="e">
        <f>VLOOKUP(B139,'Planilha de Apoio'!G:H,2,0)</f>
        <v>#N/A</v>
      </c>
      <c r="D139" s="6"/>
      <c r="E139" s="59"/>
      <c r="F139" s="60">
        <f t="shared" si="1"/>
        <v>0</v>
      </c>
    </row>
    <row r="140" spans="2:6" x14ac:dyDescent="0.3">
      <c r="B140" s="6"/>
      <c r="C140" s="41" t="e">
        <f>VLOOKUP(B140,'Planilha de Apoio'!G:H,2,0)</f>
        <v>#N/A</v>
      </c>
      <c r="D140" s="6"/>
      <c r="E140" s="59"/>
      <c r="F140" s="60">
        <f t="shared" si="1"/>
        <v>0</v>
      </c>
    </row>
    <row r="141" spans="2:6" x14ac:dyDescent="0.3">
      <c r="B141" s="6"/>
      <c r="C141" s="41" t="e">
        <f>VLOOKUP(B141,'Planilha de Apoio'!G:H,2,0)</f>
        <v>#N/A</v>
      </c>
      <c r="D141" s="6"/>
      <c r="E141" s="59"/>
      <c r="F141" s="60">
        <f t="shared" si="1"/>
        <v>0</v>
      </c>
    </row>
    <row r="142" spans="2:6" x14ac:dyDescent="0.3">
      <c r="B142" s="6"/>
      <c r="C142" s="41" t="e">
        <f>VLOOKUP(B142,'Planilha de Apoio'!G:H,2,0)</f>
        <v>#N/A</v>
      </c>
      <c r="D142" s="6"/>
      <c r="E142" s="59"/>
      <c r="F142" s="60">
        <f t="shared" si="1"/>
        <v>0</v>
      </c>
    </row>
    <row r="143" spans="2:6" x14ac:dyDescent="0.3">
      <c r="B143" s="6"/>
      <c r="C143" s="41" t="e">
        <f>VLOOKUP(B143,'Planilha de Apoio'!G:H,2,0)</f>
        <v>#N/A</v>
      </c>
      <c r="D143" s="6"/>
      <c r="E143" s="59"/>
      <c r="F143" s="60">
        <f t="shared" ref="F143:F206" si="2">D143*E143</f>
        <v>0</v>
      </c>
    </row>
    <row r="144" spans="2:6" x14ac:dyDescent="0.3">
      <c r="B144" s="6"/>
      <c r="C144" s="41" t="e">
        <f>VLOOKUP(B144,'Planilha de Apoio'!G:H,2,0)</f>
        <v>#N/A</v>
      </c>
      <c r="D144" s="6"/>
      <c r="E144" s="59"/>
      <c r="F144" s="60">
        <f t="shared" si="2"/>
        <v>0</v>
      </c>
    </row>
    <row r="145" spans="2:6" x14ac:dyDescent="0.3">
      <c r="B145" s="6"/>
      <c r="C145" s="41" t="e">
        <f>VLOOKUP(B145,'Planilha de Apoio'!G:H,2,0)</f>
        <v>#N/A</v>
      </c>
      <c r="D145" s="6"/>
      <c r="E145" s="59"/>
      <c r="F145" s="60">
        <f t="shared" si="2"/>
        <v>0</v>
      </c>
    </row>
    <row r="146" spans="2:6" x14ac:dyDescent="0.3">
      <c r="B146" s="6"/>
      <c r="C146" s="41" t="e">
        <f>VLOOKUP(B146,'Planilha de Apoio'!G:H,2,0)</f>
        <v>#N/A</v>
      </c>
      <c r="D146" s="6"/>
      <c r="E146" s="59"/>
      <c r="F146" s="60">
        <f t="shared" si="2"/>
        <v>0</v>
      </c>
    </row>
    <row r="147" spans="2:6" x14ac:dyDescent="0.3">
      <c r="B147" s="6"/>
      <c r="C147" s="41" t="e">
        <f>VLOOKUP(B147,'Planilha de Apoio'!G:H,2,0)</f>
        <v>#N/A</v>
      </c>
      <c r="D147" s="6"/>
      <c r="E147" s="59"/>
      <c r="F147" s="60">
        <f t="shared" si="2"/>
        <v>0</v>
      </c>
    </row>
    <row r="148" spans="2:6" x14ac:dyDescent="0.3">
      <c r="B148" s="6"/>
      <c r="C148" s="41" t="e">
        <f>VLOOKUP(B148,'Planilha de Apoio'!G:H,2,0)</f>
        <v>#N/A</v>
      </c>
      <c r="D148" s="6"/>
      <c r="E148" s="59"/>
      <c r="F148" s="60">
        <f t="shared" si="2"/>
        <v>0</v>
      </c>
    </row>
    <row r="149" spans="2:6" x14ac:dyDescent="0.3">
      <c r="B149" s="6"/>
      <c r="C149" s="41" t="e">
        <f>VLOOKUP(B149,'Planilha de Apoio'!G:H,2,0)</f>
        <v>#N/A</v>
      </c>
      <c r="D149" s="6"/>
      <c r="E149" s="59"/>
      <c r="F149" s="60">
        <f t="shared" si="2"/>
        <v>0</v>
      </c>
    </row>
    <row r="150" spans="2:6" x14ac:dyDescent="0.3">
      <c r="B150" s="6"/>
      <c r="C150" s="41" t="e">
        <f>VLOOKUP(B150,'Planilha de Apoio'!G:H,2,0)</f>
        <v>#N/A</v>
      </c>
      <c r="D150" s="6"/>
      <c r="E150" s="59"/>
      <c r="F150" s="60">
        <f t="shared" si="2"/>
        <v>0</v>
      </c>
    </row>
    <row r="151" spans="2:6" x14ac:dyDescent="0.3">
      <c r="B151" s="6"/>
      <c r="C151" s="41" t="e">
        <f>VLOOKUP(B151,'Planilha de Apoio'!G:H,2,0)</f>
        <v>#N/A</v>
      </c>
      <c r="D151" s="6"/>
      <c r="E151" s="59"/>
      <c r="F151" s="60">
        <f t="shared" si="2"/>
        <v>0</v>
      </c>
    </row>
    <row r="152" spans="2:6" x14ac:dyDescent="0.3">
      <c r="B152" s="6"/>
      <c r="C152" s="41" t="e">
        <f>VLOOKUP(B152,'Planilha de Apoio'!G:H,2,0)</f>
        <v>#N/A</v>
      </c>
      <c r="D152" s="6"/>
      <c r="E152" s="59"/>
      <c r="F152" s="60">
        <f t="shared" si="2"/>
        <v>0</v>
      </c>
    </row>
    <row r="153" spans="2:6" x14ac:dyDescent="0.3">
      <c r="B153" s="6"/>
      <c r="C153" s="41" t="e">
        <f>VLOOKUP(B153,'Planilha de Apoio'!G:H,2,0)</f>
        <v>#N/A</v>
      </c>
      <c r="D153" s="6"/>
      <c r="E153" s="59"/>
      <c r="F153" s="60">
        <f t="shared" si="2"/>
        <v>0</v>
      </c>
    </row>
    <row r="154" spans="2:6" x14ac:dyDescent="0.3">
      <c r="B154" s="6"/>
      <c r="C154" s="41" t="e">
        <f>VLOOKUP(B154,'Planilha de Apoio'!G:H,2,0)</f>
        <v>#N/A</v>
      </c>
      <c r="D154" s="6"/>
      <c r="E154" s="59"/>
      <c r="F154" s="60">
        <f t="shared" si="2"/>
        <v>0</v>
      </c>
    </row>
    <row r="155" spans="2:6" x14ac:dyDescent="0.3">
      <c r="B155" s="6"/>
      <c r="C155" s="41" t="e">
        <f>VLOOKUP(B155,'Planilha de Apoio'!G:H,2,0)</f>
        <v>#N/A</v>
      </c>
      <c r="D155" s="6"/>
      <c r="E155" s="59"/>
      <c r="F155" s="60">
        <f t="shared" si="2"/>
        <v>0</v>
      </c>
    </row>
    <row r="156" spans="2:6" x14ac:dyDescent="0.3">
      <c r="B156" s="6"/>
      <c r="C156" s="41" t="e">
        <f>VLOOKUP(B156,'Planilha de Apoio'!G:H,2,0)</f>
        <v>#N/A</v>
      </c>
      <c r="D156" s="6"/>
      <c r="E156" s="59"/>
      <c r="F156" s="60">
        <f t="shared" si="2"/>
        <v>0</v>
      </c>
    </row>
    <row r="157" spans="2:6" x14ac:dyDescent="0.3">
      <c r="B157" s="6"/>
      <c r="C157" s="41" t="e">
        <f>VLOOKUP(B157,'Planilha de Apoio'!G:H,2,0)</f>
        <v>#N/A</v>
      </c>
      <c r="D157" s="6"/>
      <c r="E157" s="59"/>
      <c r="F157" s="60">
        <f t="shared" si="2"/>
        <v>0</v>
      </c>
    </row>
    <row r="158" spans="2:6" x14ac:dyDescent="0.3">
      <c r="B158" s="6"/>
      <c r="C158" s="41" t="e">
        <f>VLOOKUP(B158,'Planilha de Apoio'!G:H,2,0)</f>
        <v>#N/A</v>
      </c>
      <c r="D158" s="6"/>
      <c r="E158" s="59"/>
      <c r="F158" s="60">
        <f t="shared" si="2"/>
        <v>0</v>
      </c>
    </row>
    <row r="159" spans="2:6" x14ac:dyDescent="0.3">
      <c r="B159" s="6"/>
      <c r="C159" s="41" t="e">
        <f>VLOOKUP(B159,'Planilha de Apoio'!G:H,2,0)</f>
        <v>#N/A</v>
      </c>
      <c r="D159" s="6"/>
      <c r="E159" s="59"/>
      <c r="F159" s="60">
        <f t="shared" si="2"/>
        <v>0</v>
      </c>
    </row>
    <row r="160" spans="2:6" x14ac:dyDescent="0.3">
      <c r="B160" s="6"/>
      <c r="C160" s="41" t="e">
        <f>VLOOKUP(B160,'Planilha de Apoio'!G:H,2,0)</f>
        <v>#N/A</v>
      </c>
      <c r="D160" s="6"/>
      <c r="E160" s="59"/>
      <c r="F160" s="60">
        <f t="shared" si="2"/>
        <v>0</v>
      </c>
    </row>
    <row r="161" spans="2:6" x14ac:dyDescent="0.3">
      <c r="B161" s="6"/>
      <c r="C161" s="41" t="e">
        <f>VLOOKUP(B161,'Planilha de Apoio'!G:H,2,0)</f>
        <v>#N/A</v>
      </c>
      <c r="D161" s="6"/>
      <c r="E161" s="59"/>
      <c r="F161" s="60">
        <f t="shared" si="2"/>
        <v>0</v>
      </c>
    </row>
    <row r="162" spans="2:6" x14ac:dyDescent="0.3">
      <c r="B162" s="6"/>
      <c r="C162" s="41" t="e">
        <f>VLOOKUP(B162,'Planilha de Apoio'!G:H,2,0)</f>
        <v>#N/A</v>
      </c>
      <c r="D162" s="6"/>
      <c r="E162" s="59"/>
      <c r="F162" s="60">
        <f t="shared" si="2"/>
        <v>0</v>
      </c>
    </row>
    <row r="163" spans="2:6" x14ac:dyDescent="0.3">
      <c r="B163" s="6"/>
      <c r="C163" s="41" t="e">
        <f>VLOOKUP(B163,'Planilha de Apoio'!G:H,2,0)</f>
        <v>#N/A</v>
      </c>
      <c r="D163" s="6"/>
      <c r="E163" s="59"/>
      <c r="F163" s="60">
        <f t="shared" si="2"/>
        <v>0</v>
      </c>
    </row>
    <row r="164" spans="2:6" x14ac:dyDescent="0.3">
      <c r="B164" s="6"/>
      <c r="C164" s="41" t="e">
        <f>VLOOKUP(B164,'Planilha de Apoio'!G:H,2,0)</f>
        <v>#N/A</v>
      </c>
      <c r="D164" s="6"/>
      <c r="E164" s="59"/>
      <c r="F164" s="60">
        <f t="shared" si="2"/>
        <v>0</v>
      </c>
    </row>
    <row r="165" spans="2:6" x14ac:dyDescent="0.3">
      <c r="B165" s="6"/>
      <c r="C165" s="41" t="e">
        <f>VLOOKUP(B165,'Planilha de Apoio'!G:H,2,0)</f>
        <v>#N/A</v>
      </c>
      <c r="D165" s="6"/>
      <c r="E165" s="59"/>
      <c r="F165" s="60">
        <f t="shared" si="2"/>
        <v>0</v>
      </c>
    </row>
    <row r="166" spans="2:6" x14ac:dyDescent="0.3">
      <c r="B166" s="6"/>
      <c r="C166" s="41" t="e">
        <f>VLOOKUP(B166,'Planilha de Apoio'!G:H,2,0)</f>
        <v>#N/A</v>
      </c>
      <c r="D166" s="6"/>
      <c r="E166" s="59"/>
      <c r="F166" s="60">
        <f t="shared" si="2"/>
        <v>0</v>
      </c>
    </row>
    <row r="167" spans="2:6" x14ac:dyDescent="0.3">
      <c r="B167" s="6"/>
      <c r="C167" s="41" t="e">
        <f>VLOOKUP(B167,'Planilha de Apoio'!G:H,2,0)</f>
        <v>#N/A</v>
      </c>
      <c r="D167" s="6"/>
      <c r="E167" s="59"/>
      <c r="F167" s="60">
        <f t="shared" si="2"/>
        <v>0</v>
      </c>
    </row>
    <row r="168" spans="2:6" x14ac:dyDescent="0.3">
      <c r="B168" s="6"/>
      <c r="C168" s="41" t="e">
        <f>VLOOKUP(B168,'Planilha de Apoio'!G:H,2,0)</f>
        <v>#N/A</v>
      </c>
      <c r="D168" s="6"/>
      <c r="E168" s="59"/>
      <c r="F168" s="60">
        <f t="shared" si="2"/>
        <v>0</v>
      </c>
    </row>
    <row r="169" spans="2:6" x14ac:dyDescent="0.3">
      <c r="B169" s="6"/>
      <c r="C169" s="41" t="e">
        <f>VLOOKUP(B169,'Planilha de Apoio'!G:H,2,0)</f>
        <v>#N/A</v>
      </c>
      <c r="D169" s="6"/>
      <c r="E169" s="59"/>
      <c r="F169" s="60">
        <f t="shared" si="2"/>
        <v>0</v>
      </c>
    </row>
    <row r="170" spans="2:6" x14ac:dyDescent="0.3">
      <c r="B170" s="6"/>
      <c r="C170" s="41" t="e">
        <f>VLOOKUP(B170,'Planilha de Apoio'!G:H,2,0)</f>
        <v>#N/A</v>
      </c>
      <c r="D170" s="6"/>
      <c r="E170" s="59"/>
      <c r="F170" s="60">
        <f t="shared" si="2"/>
        <v>0</v>
      </c>
    </row>
    <row r="171" spans="2:6" x14ac:dyDescent="0.3">
      <c r="B171" s="6"/>
      <c r="C171" s="41" t="e">
        <f>VLOOKUP(B171,'Planilha de Apoio'!G:H,2,0)</f>
        <v>#N/A</v>
      </c>
      <c r="D171" s="6"/>
      <c r="E171" s="59"/>
      <c r="F171" s="60">
        <f t="shared" si="2"/>
        <v>0</v>
      </c>
    </row>
    <row r="172" spans="2:6" x14ac:dyDescent="0.3">
      <c r="B172" s="6"/>
      <c r="C172" s="41" t="e">
        <f>VLOOKUP(B172,'Planilha de Apoio'!G:H,2,0)</f>
        <v>#N/A</v>
      </c>
      <c r="D172" s="6"/>
      <c r="E172" s="59"/>
      <c r="F172" s="60">
        <f t="shared" si="2"/>
        <v>0</v>
      </c>
    </row>
    <row r="173" spans="2:6" x14ac:dyDescent="0.3">
      <c r="B173" s="6"/>
      <c r="C173" s="41" t="e">
        <f>VLOOKUP(B173,'Planilha de Apoio'!G:H,2,0)</f>
        <v>#N/A</v>
      </c>
      <c r="D173" s="6"/>
      <c r="E173" s="59"/>
      <c r="F173" s="60">
        <f t="shared" si="2"/>
        <v>0</v>
      </c>
    </row>
    <row r="174" spans="2:6" x14ac:dyDescent="0.3">
      <c r="B174" s="6"/>
      <c r="C174" s="41" t="e">
        <f>VLOOKUP(B174,'Planilha de Apoio'!G:H,2,0)</f>
        <v>#N/A</v>
      </c>
      <c r="D174" s="6"/>
      <c r="E174" s="59"/>
      <c r="F174" s="60">
        <f t="shared" si="2"/>
        <v>0</v>
      </c>
    </row>
    <row r="175" spans="2:6" x14ac:dyDescent="0.3">
      <c r="B175" s="6"/>
      <c r="C175" s="41" t="e">
        <f>VLOOKUP(B175,'Planilha de Apoio'!G:H,2,0)</f>
        <v>#N/A</v>
      </c>
      <c r="D175" s="6"/>
      <c r="E175" s="59"/>
      <c r="F175" s="60">
        <f t="shared" si="2"/>
        <v>0</v>
      </c>
    </row>
    <row r="176" spans="2:6" x14ac:dyDescent="0.3">
      <c r="B176" s="6"/>
      <c r="C176" s="41" t="e">
        <f>VLOOKUP(B176,'Planilha de Apoio'!G:H,2,0)</f>
        <v>#N/A</v>
      </c>
      <c r="D176" s="6"/>
      <c r="E176" s="59"/>
      <c r="F176" s="60">
        <f t="shared" si="2"/>
        <v>0</v>
      </c>
    </row>
    <row r="177" spans="2:6" x14ac:dyDescent="0.3">
      <c r="B177" s="6"/>
      <c r="C177" s="41" t="e">
        <f>VLOOKUP(B177,'Planilha de Apoio'!G:H,2,0)</f>
        <v>#N/A</v>
      </c>
      <c r="D177" s="6"/>
      <c r="E177" s="59"/>
      <c r="F177" s="60">
        <f t="shared" si="2"/>
        <v>0</v>
      </c>
    </row>
    <row r="178" spans="2:6" x14ac:dyDescent="0.3">
      <c r="B178" s="6"/>
      <c r="C178" s="41" t="e">
        <f>VLOOKUP(B178,'Planilha de Apoio'!G:H,2,0)</f>
        <v>#N/A</v>
      </c>
      <c r="D178" s="6"/>
      <c r="E178" s="59"/>
      <c r="F178" s="60">
        <f t="shared" si="2"/>
        <v>0</v>
      </c>
    </row>
    <row r="179" spans="2:6" x14ac:dyDescent="0.3">
      <c r="B179" s="6"/>
      <c r="C179" s="41" t="e">
        <f>VLOOKUP(B179,'Planilha de Apoio'!G:H,2,0)</f>
        <v>#N/A</v>
      </c>
      <c r="D179" s="6"/>
      <c r="E179" s="59"/>
      <c r="F179" s="60">
        <f t="shared" si="2"/>
        <v>0</v>
      </c>
    </row>
    <row r="180" spans="2:6" x14ac:dyDescent="0.3">
      <c r="B180" s="6"/>
      <c r="C180" s="41" t="e">
        <f>VLOOKUP(B180,'Planilha de Apoio'!G:H,2,0)</f>
        <v>#N/A</v>
      </c>
      <c r="D180" s="6"/>
      <c r="E180" s="59"/>
      <c r="F180" s="60">
        <f t="shared" si="2"/>
        <v>0</v>
      </c>
    </row>
    <row r="181" spans="2:6" x14ac:dyDescent="0.3">
      <c r="B181" s="6"/>
      <c r="C181" s="41" t="e">
        <f>VLOOKUP(B181,'Planilha de Apoio'!G:H,2,0)</f>
        <v>#N/A</v>
      </c>
      <c r="D181" s="6"/>
      <c r="E181" s="59"/>
      <c r="F181" s="60">
        <f t="shared" si="2"/>
        <v>0</v>
      </c>
    </row>
    <row r="182" spans="2:6" x14ac:dyDescent="0.3">
      <c r="B182" s="6"/>
      <c r="C182" s="41" t="e">
        <f>VLOOKUP(B182,'Planilha de Apoio'!G:H,2,0)</f>
        <v>#N/A</v>
      </c>
      <c r="D182" s="6"/>
      <c r="E182" s="59"/>
      <c r="F182" s="60">
        <f t="shared" si="2"/>
        <v>0</v>
      </c>
    </row>
    <row r="183" spans="2:6" x14ac:dyDescent="0.3">
      <c r="B183" s="6"/>
      <c r="C183" s="41" t="e">
        <f>VLOOKUP(B183,'Planilha de Apoio'!G:H,2,0)</f>
        <v>#N/A</v>
      </c>
      <c r="D183" s="6"/>
      <c r="E183" s="59"/>
      <c r="F183" s="60">
        <f t="shared" si="2"/>
        <v>0</v>
      </c>
    </row>
    <row r="184" spans="2:6" x14ac:dyDescent="0.3">
      <c r="B184" s="6"/>
      <c r="C184" s="41" t="e">
        <f>VLOOKUP(B184,'Planilha de Apoio'!G:H,2,0)</f>
        <v>#N/A</v>
      </c>
      <c r="D184" s="6"/>
      <c r="E184" s="59"/>
      <c r="F184" s="60">
        <f t="shared" si="2"/>
        <v>0</v>
      </c>
    </row>
    <row r="185" spans="2:6" x14ac:dyDescent="0.3">
      <c r="B185" s="6"/>
      <c r="C185" s="41" t="e">
        <f>VLOOKUP(B185,'Planilha de Apoio'!G:H,2,0)</f>
        <v>#N/A</v>
      </c>
      <c r="D185" s="6"/>
      <c r="E185" s="59"/>
      <c r="F185" s="60">
        <f t="shared" si="2"/>
        <v>0</v>
      </c>
    </row>
    <row r="186" spans="2:6" x14ac:dyDescent="0.3">
      <c r="B186" s="6"/>
      <c r="C186" s="41" t="e">
        <f>VLOOKUP(B186,'Planilha de Apoio'!G:H,2,0)</f>
        <v>#N/A</v>
      </c>
      <c r="D186" s="6"/>
      <c r="E186" s="59"/>
      <c r="F186" s="60">
        <f t="shared" si="2"/>
        <v>0</v>
      </c>
    </row>
    <row r="187" spans="2:6" x14ac:dyDescent="0.3">
      <c r="B187" s="6"/>
      <c r="C187" s="41" t="e">
        <f>VLOOKUP(B187,'Planilha de Apoio'!G:H,2,0)</f>
        <v>#N/A</v>
      </c>
      <c r="D187" s="6"/>
      <c r="E187" s="59"/>
      <c r="F187" s="60">
        <f t="shared" si="2"/>
        <v>0</v>
      </c>
    </row>
    <row r="188" spans="2:6" x14ac:dyDescent="0.3">
      <c r="B188" s="6"/>
      <c r="C188" s="41" t="e">
        <f>VLOOKUP(B188,'Planilha de Apoio'!G:H,2,0)</f>
        <v>#N/A</v>
      </c>
      <c r="D188" s="6"/>
      <c r="E188" s="59"/>
      <c r="F188" s="60">
        <f t="shared" si="2"/>
        <v>0</v>
      </c>
    </row>
    <row r="189" spans="2:6" x14ac:dyDescent="0.3">
      <c r="B189" s="6"/>
      <c r="C189" s="41" t="e">
        <f>VLOOKUP(B189,'Planilha de Apoio'!G:H,2,0)</f>
        <v>#N/A</v>
      </c>
      <c r="D189" s="6"/>
      <c r="E189" s="59"/>
      <c r="F189" s="60">
        <f t="shared" si="2"/>
        <v>0</v>
      </c>
    </row>
    <row r="190" spans="2:6" x14ac:dyDescent="0.3">
      <c r="B190" s="6"/>
      <c r="C190" s="41" t="e">
        <f>VLOOKUP(B190,'Planilha de Apoio'!G:H,2,0)</f>
        <v>#N/A</v>
      </c>
      <c r="D190" s="6"/>
      <c r="E190" s="59"/>
      <c r="F190" s="60">
        <f t="shared" si="2"/>
        <v>0</v>
      </c>
    </row>
    <row r="191" spans="2:6" x14ac:dyDescent="0.3">
      <c r="B191" s="6"/>
      <c r="C191" s="41" t="e">
        <f>VLOOKUP(B191,'Planilha de Apoio'!G:H,2,0)</f>
        <v>#N/A</v>
      </c>
      <c r="D191" s="6"/>
      <c r="E191" s="59"/>
      <c r="F191" s="60">
        <f t="shared" si="2"/>
        <v>0</v>
      </c>
    </row>
    <row r="192" spans="2:6" x14ac:dyDescent="0.3">
      <c r="B192" s="6"/>
      <c r="C192" s="41" t="e">
        <f>VLOOKUP(B192,'Planilha de Apoio'!G:H,2,0)</f>
        <v>#N/A</v>
      </c>
      <c r="D192" s="6"/>
      <c r="E192" s="59"/>
      <c r="F192" s="60">
        <f t="shared" si="2"/>
        <v>0</v>
      </c>
    </row>
    <row r="193" spans="2:6" x14ac:dyDescent="0.3">
      <c r="B193" s="6"/>
      <c r="C193" s="41" t="e">
        <f>VLOOKUP(B193,'Planilha de Apoio'!G:H,2,0)</f>
        <v>#N/A</v>
      </c>
      <c r="D193" s="6"/>
      <c r="E193" s="59"/>
      <c r="F193" s="60">
        <f t="shared" si="2"/>
        <v>0</v>
      </c>
    </row>
    <row r="194" spans="2:6" x14ac:dyDescent="0.3">
      <c r="B194" s="6"/>
      <c r="C194" s="41" t="e">
        <f>VLOOKUP(B194,'Planilha de Apoio'!G:H,2,0)</f>
        <v>#N/A</v>
      </c>
      <c r="D194" s="6"/>
      <c r="E194" s="59"/>
      <c r="F194" s="60">
        <f t="shared" si="2"/>
        <v>0</v>
      </c>
    </row>
    <row r="195" spans="2:6" x14ac:dyDescent="0.3">
      <c r="B195" s="6"/>
      <c r="C195" s="41" t="e">
        <f>VLOOKUP(B195,'Planilha de Apoio'!G:H,2,0)</f>
        <v>#N/A</v>
      </c>
      <c r="D195" s="6"/>
      <c r="E195" s="59"/>
      <c r="F195" s="60">
        <f t="shared" si="2"/>
        <v>0</v>
      </c>
    </row>
    <row r="196" spans="2:6" x14ac:dyDescent="0.3">
      <c r="B196" s="6"/>
      <c r="C196" s="41" t="e">
        <f>VLOOKUP(B196,'Planilha de Apoio'!G:H,2,0)</f>
        <v>#N/A</v>
      </c>
      <c r="D196" s="6"/>
      <c r="E196" s="59"/>
      <c r="F196" s="60">
        <f t="shared" si="2"/>
        <v>0</v>
      </c>
    </row>
    <row r="197" spans="2:6" x14ac:dyDescent="0.3">
      <c r="B197" s="6"/>
      <c r="C197" s="41" t="e">
        <f>VLOOKUP(B197,'Planilha de Apoio'!G:H,2,0)</f>
        <v>#N/A</v>
      </c>
      <c r="D197" s="6"/>
      <c r="E197" s="59"/>
      <c r="F197" s="60">
        <f t="shared" si="2"/>
        <v>0</v>
      </c>
    </row>
    <row r="198" spans="2:6" x14ac:dyDescent="0.3">
      <c r="B198" s="6"/>
      <c r="C198" s="41" t="e">
        <f>VLOOKUP(B198,'Planilha de Apoio'!G:H,2,0)</f>
        <v>#N/A</v>
      </c>
      <c r="D198" s="6"/>
      <c r="E198" s="59"/>
      <c r="F198" s="60">
        <f t="shared" si="2"/>
        <v>0</v>
      </c>
    </row>
    <row r="199" spans="2:6" x14ac:dyDescent="0.3">
      <c r="B199" s="6"/>
      <c r="C199" s="41" t="e">
        <f>VLOOKUP(B199,'Planilha de Apoio'!G:H,2,0)</f>
        <v>#N/A</v>
      </c>
      <c r="D199" s="6"/>
      <c r="E199" s="59"/>
      <c r="F199" s="60">
        <f t="shared" si="2"/>
        <v>0</v>
      </c>
    </row>
    <row r="200" spans="2:6" x14ac:dyDescent="0.3">
      <c r="B200" s="6"/>
      <c r="C200" s="41" t="e">
        <f>VLOOKUP(B200,'Planilha de Apoio'!G:H,2,0)</f>
        <v>#N/A</v>
      </c>
      <c r="D200" s="6"/>
      <c r="E200" s="59"/>
      <c r="F200" s="60">
        <f t="shared" si="2"/>
        <v>0</v>
      </c>
    </row>
    <row r="201" spans="2:6" x14ac:dyDescent="0.3">
      <c r="B201" s="6"/>
      <c r="C201" s="41" t="e">
        <f>VLOOKUP(B201,'Planilha de Apoio'!G:H,2,0)</f>
        <v>#N/A</v>
      </c>
      <c r="D201" s="6"/>
      <c r="E201" s="59"/>
      <c r="F201" s="60">
        <f t="shared" si="2"/>
        <v>0</v>
      </c>
    </row>
    <row r="202" spans="2:6" x14ac:dyDescent="0.3">
      <c r="B202" s="6"/>
      <c r="C202" s="41" t="e">
        <f>VLOOKUP(B202,'Planilha de Apoio'!G:H,2,0)</f>
        <v>#N/A</v>
      </c>
      <c r="D202" s="6"/>
      <c r="E202" s="59"/>
      <c r="F202" s="60">
        <f t="shared" si="2"/>
        <v>0</v>
      </c>
    </row>
    <row r="203" spans="2:6" x14ac:dyDescent="0.3">
      <c r="B203" s="6"/>
      <c r="C203" s="41" t="e">
        <f>VLOOKUP(B203,'Planilha de Apoio'!G:H,2,0)</f>
        <v>#N/A</v>
      </c>
      <c r="D203" s="6"/>
      <c r="E203" s="59"/>
      <c r="F203" s="60">
        <f t="shared" si="2"/>
        <v>0</v>
      </c>
    </row>
    <row r="204" spans="2:6" x14ac:dyDescent="0.3">
      <c r="B204" s="6"/>
      <c r="C204" s="41" t="e">
        <f>VLOOKUP(B204,'Planilha de Apoio'!G:H,2,0)</f>
        <v>#N/A</v>
      </c>
      <c r="D204" s="6"/>
      <c r="E204" s="59"/>
      <c r="F204" s="60">
        <f t="shared" si="2"/>
        <v>0</v>
      </c>
    </row>
    <row r="205" spans="2:6" x14ac:dyDescent="0.3">
      <c r="B205" s="6"/>
      <c r="C205" s="41" t="e">
        <f>VLOOKUP(B205,'Planilha de Apoio'!G:H,2,0)</f>
        <v>#N/A</v>
      </c>
      <c r="D205" s="6"/>
      <c r="E205" s="59"/>
      <c r="F205" s="60">
        <f t="shared" si="2"/>
        <v>0</v>
      </c>
    </row>
    <row r="206" spans="2:6" x14ac:dyDescent="0.3">
      <c r="B206" s="6"/>
      <c r="C206" s="41" t="e">
        <f>VLOOKUP(B206,'Planilha de Apoio'!G:H,2,0)</f>
        <v>#N/A</v>
      </c>
      <c r="D206" s="6"/>
      <c r="E206" s="59"/>
      <c r="F206" s="60">
        <f t="shared" si="2"/>
        <v>0</v>
      </c>
    </row>
    <row r="207" spans="2:6" x14ac:dyDescent="0.3">
      <c r="B207" s="6"/>
      <c r="C207" s="41" t="e">
        <f>VLOOKUP(B207,'Planilha de Apoio'!G:H,2,0)</f>
        <v>#N/A</v>
      </c>
      <c r="D207" s="6"/>
      <c r="E207" s="59"/>
      <c r="F207" s="60">
        <f t="shared" ref="F207:F270" si="3">D207*E207</f>
        <v>0</v>
      </c>
    </row>
    <row r="208" spans="2:6" x14ac:dyDescent="0.3">
      <c r="B208" s="6"/>
      <c r="C208" s="41" t="e">
        <f>VLOOKUP(B208,'Planilha de Apoio'!G:H,2,0)</f>
        <v>#N/A</v>
      </c>
      <c r="D208" s="6"/>
      <c r="E208" s="59"/>
      <c r="F208" s="60">
        <f t="shared" si="3"/>
        <v>0</v>
      </c>
    </row>
    <row r="209" spans="2:6" x14ac:dyDescent="0.3">
      <c r="B209" s="6"/>
      <c r="C209" s="41" t="e">
        <f>VLOOKUP(B209,'Planilha de Apoio'!G:H,2,0)</f>
        <v>#N/A</v>
      </c>
      <c r="D209" s="6"/>
      <c r="E209" s="59"/>
      <c r="F209" s="60">
        <f t="shared" si="3"/>
        <v>0</v>
      </c>
    </row>
    <row r="210" spans="2:6" x14ac:dyDescent="0.3">
      <c r="B210" s="6"/>
      <c r="C210" s="41" t="e">
        <f>VLOOKUP(B210,'Planilha de Apoio'!G:H,2,0)</f>
        <v>#N/A</v>
      </c>
      <c r="D210" s="6"/>
      <c r="E210" s="59"/>
      <c r="F210" s="60">
        <f t="shared" si="3"/>
        <v>0</v>
      </c>
    </row>
    <row r="211" spans="2:6" x14ac:dyDescent="0.3">
      <c r="B211" s="6"/>
      <c r="C211" s="41" t="e">
        <f>VLOOKUP(B211,'Planilha de Apoio'!G:H,2,0)</f>
        <v>#N/A</v>
      </c>
      <c r="D211" s="6"/>
      <c r="E211" s="59"/>
      <c r="F211" s="60">
        <f t="shared" si="3"/>
        <v>0</v>
      </c>
    </row>
    <row r="212" spans="2:6" x14ac:dyDescent="0.3">
      <c r="B212" s="6"/>
      <c r="C212" s="41" t="e">
        <f>VLOOKUP(B212,'Planilha de Apoio'!G:H,2,0)</f>
        <v>#N/A</v>
      </c>
      <c r="D212" s="6"/>
      <c r="E212" s="59"/>
      <c r="F212" s="60">
        <f t="shared" si="3"/>
        <v>0</v>
      </c>
    </row>
    <row r="213" spans="2:6" x14ac:dyDescent="0.3">
      <c r="B213" s="6"/>
      <c r="C213" s="41" t="e">
        <f>VLOOKUP(B213,'Planilha de Apoio'!G:H,2,0)</f>
        <v>#N/A</v>
      </c>
      <c r="D213" s="6"/>
      <c r="E213" s="59"/>
      <c r="F213" s="60">
        <f t="shared" si="3"/>
        <v>0</v>
      </c>
    </row>
    <row r="214" spans="2:6" x14ac:dyDescent="0.3">
      <c r="B214" s="6"/>
      <c r="C214" s="41" t="e">
        <f>VLOOKUP(B214,'Planilha de Apoio'!G:H,2,0)</f>
        <v>#N/A</v>
      </c>
      <c r="D214" s="6"/>
      <c r="E214" s="59"/>
      <c r="F214" s="60">
        <f t="shared" si="3"/>
        <v>0</v>
      </c>
    </row>
    <row r="215" spans="2:6" x14ac:dyDescent="0.3">
      <c r="B215" s="6"/>
      <c r="C215" s="41" t="e">
        <f>VLOOKUP(B215,'Planilha de Apoio'!G:H,2,0)</f>
        <v>#N/A</v>
      </c>
      <c r="D215" s="6"/>
      <c r="E215" s="59"/>
      <c r="F215" s="60">
        <f t="shared" si="3"/>
        <v>0</v>
      </c>
    </row>
    <row r="216" spans="2:6" x14ac:dyDescent="0.3">
      <c r="B216" s="6"/>
      <c r="C216" s="41" t="e">
        <f>VLOOKUP(B216,'Planilha de Apoio'!G:H,2,0)</f>
        <v>#N/A</v>
      </c>
      <c r="D216" s="6"/>
      <c r="E216" s="59"/>
      <c r="F216" s="60">
        <f t="shared" si="3"/>
        <v>0</v>
      </c>
    </row>
    <row r="217" spans="2:6" x14ac:dyDescent="0.3">
      <c r="B217" s="6"/>
      <c r="C217" s="41" t="e">
        <f>VLOOKUP(B217,'Planilha de Apoio'!G:H,2,0)</f>
        <v>#N/A</v>
      </c>
      <c r="D217" s="6"/>
      <c r="E217" s="59"/>
      <c r="F217" s="60">
        <f t="shared" si="3"/>
        <v>0</v>
      </c>
    </row>
    <row r="218" spans="2:6" x14ac:dyDescent="0.3">
      <c r="B218" s="6"/>
      <c r="C218" s="41" t="e">
        <f>VLOOKUP(B218,'Planilha de Apoio'!G:H,2,0)</f>
        <v>#N/A</v>
      </c>
      <c r="D218" s="6"/>
      <c r="E218" s="59"/>
      <c r="F218" s="60">
        <f t="shared" si="3"/>
        <v>0</v>
      </c>
    </row>
    <row r="219" spans="2:6" x14ac:dyDescent="0.3">
      <c r="B219" s="6"/>
      <c r="C219" s="41" t="e">
        <f>VLOOKUP(B219,'Planilha de Apoio'!G:H,2,0)</f>
        <v>#N/A</v>
      </c>
      <c r="D219" s="6"/>
      <c r="E219" s="59"/>
      <c r="F219" s="60">
        <f t="shared" si="3"/>
        <v>0</v>
      </c>
    </row>
    <row r="220" spans="2:6" x14ac:dyDescent="0.3">
      <c r="B220" s="6"/>
      <c r="C220" s="41" t="e">
        <f>VLOOKUP(B220,'Planilha de Apoio'!G:H,2,0)</f>
        <v>#N/A</v>
      </c>
      <c r="D220" s="6"/>
      <c r="E220" s="59"/>
      <c r="F220" s="60">
        <f t="shared" si="3"/>
        <v>0</v>
      </c>
    </row>
    <row r="221" spans="2:6" x14ac:dyDescent="0.3">
      <c r="B221" s="6"/>
      <c r="C221" s="41" t="e">
        <f>VLOOKUP(B221,'Planilha de Apoio'!G:H,2,0)</f>
        <v>#N/A</v>
      </c>
      <c r="D221" s="6"/>
      <c r="E221" s="59"/>
      <c r="F221" s="60">
        <f t="shared" si="3"/>
        <v>0</v>
      </c>
    </row>
    <row r="222" spans="2:6" x14ac:dyDescent="0.3">
      <c r="B222" s="6"/>
      <c r="C222" s="41" t="e">
        <f>VLOOKUP(B222,'Planilha de Apoio'!G:H,2,0)</f>
        <v>#N/A</v>
      </c>
      <c r="D222" s="6"/>
      <c r="E222" s="59"/>
      <c r="F222" s="60">
        <f t="shared" si="3"/>
        <v>0</v>
      </c>
    </row>
    <row r="223" spans="2:6" x14ac:dyDescent="0.3">
      <c r="B223" s="6"/>
      <c r="C223" s="41" t="e">
        <f>VLOOKUP(B223,'Planilha de Apoio'!G:H,2,0)</f>
        <v>#N/A</v>
      </c>
      <c r="D223" s="6"/>
      <c r="E223" s="59"/>
      <c r="F223" s="60">
        <f t="shared" si="3"/>
        <v>0</v>
      </c>
    </row>
    <row r="224" spans="2:6" x14ac:dyDescent="0.3">
      <c r="B224" s="6"/>
      <c r="C224" s="41" t="e">
        <f>VLOOKUP(B224,'Planilha de Apoio'!G:H,2,0)</f>
        <v>#N/A</v>
      </c>
      <c r="D224" s="6"/>
      <c r="E224" s="59"/>
      <c r="F224" s="60">
        <f t="shared" si="3"/>
        <v>0</v>
      </c>
    </row>
    <row r="225" spans="2:6" x14ac:dyDescent="0.3">
      <c r="B225" s="6"/>
      <c r="C225" s="41" t="e">
        <f>VLOOKUP(B225,'Planilha de Apoio'!G:H,2,0)</f>
        <v>#N/A</v>
      </c>
      <c r="D225" s="6"/>
      <c r="E225" s="59"/>
      <c r="F225" s="60">
        <f t="shared" si="3"/>
        <v>0</v>
      </c>
    </row>
    <row r="226" spans="2:6" x14ac:dyDescent="0.3">
      <c r="B226" s="6"/>
      <c r="C226" s="41" t="e">
        <f>VLOOKUP(B226,'Planilha de Apoio'!G:H,2,0)</f>
        <v>#N/A</v>
      </c>
      <c r="D226" s="6"/>
      <c r="E226" s="59"/>
      <c r="F226" s="60">
        <f t="shared" si="3"/>
        <v>0</v>
      </c>
    </row>
    <row r="227" spans="2:6" x14ac:dyDescent="0.3">
      <c r="B227" s="6"/>
      <c r="C227" s="41" t="e">
        <f>VLOOKUP(B227,'Planilha de Apoio'!G:H,2,0)</f>
        <v>#N/A</v>
      </c>
      <c r="D227" s="6"/>
      <c r="E227" s="59"/>
      <c r="F227" s="60">
        <f t="shared" si="3"/>
        <v>0</v>
      </c>
    </row>
    <row r="228" spans="2:6" x14ac:dyDescent="0.3">
      <c r="B228" s="6"/>
      <c r="C228" s="41" t="e">
        <f>VLOOKUP(B228,'Planilha de Apoio'!G:H,2,0)</f>
        <v>#N/A</v>
      </c>
      <c r="D228" s="6"/>
      <c r="E228" s="59"/>
      <c r="F228" s="60">
        <f t="shared" si="3"/>
        <v>0</v>
      </c>
    </row>
    <row r="229" spans="2:6" x14ac:dyDescent="0.3">
      <c r="B229" s="6"/>
      <c r="C229" s="41" t="e">
        <f>VLOOKUP(B229,'Planilha de Apoio'!G:H,2,0)</f>
        <v>#N/A</v>
      </c>
      <c r="D229" s="6"/>
      <c r="E229" s="59"/>
      <c r="F229" s="60">
        <f t="shared" si="3"/>
        <v>0</v>
      </c>
    </row>
    <row r="230" spans="2:6" x14ac:dyDescent="0.3">
      <c r="B230" s="6"/>
      <c r="C230" s="41" t="e">
        <f>VLOOKUP(B230,'Planilha de Apoio'!G:H,2,0)</f>
        <v>#N/A</v>
      </c>
      <c r="D230" s="6"/>
      <c r="E230" s="59"/>
      <c r="F230" s="60">
        <f t="shared" si="3"/>
        <v>0</v>
      </c>
    </row>
    <row r="231" spans="2:6" x14ac:dyDescent="0.3">
      <c r="B231" s="6"/>
      <c r="C231" s="41" t="e">
        <f>VLOOKUP(B231,'Planilha de Apoio'!G:H,2,0)</f>
        <v>#N/A</v>
      </c>
      <c r="D231" s="6"/>
      <c r="E231" s="59"/>
      <c r="F231" s="60">
        <f t="shared" si="3"/>
        <v>0</v>
      </c>
    </row>
    <row r="232" spans="2:6" x14ac:dyDescent="0.3">
      <c r="B232" s="6"/>
      <c r="C232" s="41" t="e">
        <f>VLOOKUP(B232,'Planilha de Apoio'!G:H,2,0)</f>
        <v>#N/A</v>
      </c>
      <c r="D232" s="6"/>
      <c r="E232" s="59"/>
      <c r="F232" s="60">
        <f t="shared" si="3"/>
        <v>0</v>
      </c>
    </row>
    <row r="233" spans="2:6" x14ac:dyDescent="0.3">
      <c r="B233" s="6"/>
      <c r="C233" s="41" t="e">
        <f>VLOOKUP(B233,'Planilha de Apoio'!G:H,2,0)</f>
        <v>#N/A</v>
      </c>
      <c r="D233" s="6"/>
      <c r="E233" s="59"/>
      <c r="F233" s="60">
        <f t="shared" si="3"/>
        <v>0</v>
      </c>
    </row>
    <row r="234" spans="2:6" x14ac:dyDescent="0.3">
      <c r="B234" s="6"/>
      <c r="C234" s="41" t="e">
        <f>VLOOKUP(B234,'Planilha de Apoio'!G:H,2,0)</f>
        <v>#N/A</v>
      </c>
      <c r="D234" s="6"/>
      <c r="E234" s="59"/>
      <c r="F234" s="60">
        <f t="shared" si="3"/>
        <v>0</v>
      </c>
    </row>
    <row r="235" spans="2:6" x14ac:dyDescent="0.3">
      <c r="B235" s="6"/>
      <c r="C235" s="41" t="e">
        <f>VLOOKUP(B235,'Planilha de Apoio'!G:H,2,0)</f>
        <v>#N/A</v>
      </c>
      <c r="D235" s="6"/>
      <c r="E235" s="59"/>
      <c r="F235" s="60">
        <f t="shared" si="3"/>
        <v>0</v>
      </c>
    </row>
    <row r="236" spans="2:6" x14ac:dyDescent="0.3">
      <c r="B236" s="6"/>
      <c r="C236" s="41" t="e">
        <f>VLOOKUP(B236,'Planilha de Apoio'!G:H,2,0)</f>
        <v>#N/A</v>
      </c>
      <c r="D236" s="6"/>
      <c r="E236" s="59"/>
      <c r="F236" s="60">
        <f t="shared" si="3"/>
        <v>0</v>
      </c>
    </row>
    <row r="237" spans="2:6" x14ac:dyDescent="0.3">
      <c r="B237" s="6"/>
      <c r="C237" s="41" t="e">
        <f>VLOOKUP(B237,'Planilha de Apoio'!G:H,2,0)</f>
        <v>#N/A</v>
      </c>
      <c r="D237" s="6"/>
      <c r="E237" s="59"/>
      <c r="F237" s="60">
        <f t="shared" si="3"/>
        <v>0</v>
      </c>
    </row>
    <row r="238" spans="2:6" x14ac:dyDescent="0.3">
      <c r="B238" s="6"/>
      <c r="C238" s="41" t="e">
        <f>VLOOKUP(B238,'Planilha de Apoio'!G:H,2,0)</f>
        <v>#N/A</v>
      </c>
      <c r="D238" s="6"/>
      <c r="E238" s="59"/>
      <c r="F238" s="60">
        <f t="shared" si="3"/>
        <v>0</v>
      </c>
    </row>
    <row r="239" spans="2:6" x14ac:dyDescent="0.3">
      <c r="B239" s="6"/>
      <c r="C239" s="41" t="e">
        <f>VLOOKUP(B239,'Planilha de Apoio'!G:H,2,0)</f>
        <v>#N/A</v>
      </c>
      <c r="D239" s="6"/>
      <c r="E239" s="59"/>
      <c r="F239" s="60">
        <f t="shared" si="3"/>
        <v>0</v>
      </c>
    </row>
    <row r="240" spans="2:6" x14ac:dyDescent="0.3">
      <c r="B240" s="6"/>
      <c r="C240" s="41" t="e">
        <f>VLOOKUP(B240,'Planilha de Apoio'!G:H,2,0)</f>
        <v>#N/A</v>
      </c>
      <c r="D240" s="6"/>
      <c r="E240" s="59"/>
      <c r="F240" s="60">
        <f t="shared" si="3"/>
        <v>0</v>
      </c>
    </row>
    <row r="241" spans="2:6" x14ac:dyDescent="0.3">
      <c r="B241" s="6"/>
      <c r="C241" s="41" t="e">
        <f>VLOOKUP(B241,'Planilha de Apoio'!G:H,2,0)</f>
        <v>#N/A</v>
      </c>
      <c r="D241" s="6"/>
      <c r="E241" s="59"/>
      <c r="F241" s="60">
        <f t="shared" si="3"/>
        <v>0</v>
      </c>
    </row>
    <row r="242" spans="2:6" x14ac:dyDescent="0.3">
      <c r="B242" s="6"/>
      <c r="C242" s="41" t="e">
        <f>VLOOKUP(B242,'Planilha de Apoio'!G:H,2,0)</f>
        <v>#N/A</v>
      </c>
      <c r="D242" s="6"/>
      <c r="E242" s="59"/>
      <c r="F242" s="60">
        <f t="shared" si="3"/>
        <v>0</v>
      </c>
    </row>
    <row r="243" spans="2:6" x14ac:dyDescent="0.3">
      <c r="B243" s="6"/>
      <c r="C243" s="41" t="e">
        <f>VLOOKUP(B243,'Planilha de Apoio'!G:H,2,0)</f>
        <v>#N/A</v>
      </c>
      <c r="D243" s="6"/>
      <c r="E243" s="59"/>
      <c r="F243" s="60">
        <f t="shared" si="3"/>
        <v>0</v>
      </c>
    </row>
    <row r="244" spans="2:6" x14ac:dyDescent="0.3">
      <c r="B244" s="6"/>
      <c r="C244" s="41" t="e">
        <f>VLOOKUP(B244,'Planilha de Apoio'!G:H,2,0)</f>
        <v>#N/A</v>
      </c>
      <c r="D244" s="6"/>
      <c r="E244" s="59"/>
      <c r="F244" s="60">
        <f t="shared" si="3"/>
        <v>0</v>
      </c>
    </row>
    <row r="245" spans="2:6" x14ac:dyDescent="0.3">
      <c r="B245" s="6"/>
      <c r="C245" s="41" t="e">
        <f>VLOOKUP(B245,'Planilha de Apoio'!G:H,2,0)</f>
        <v>#N/A</v>
      </c>
      <c r="D245" s="6"/>
      <c r="E245" s="59"/>
      <c r="F245" s="60">
        <f t="shared" si="3"/>
        <v>0</v>
      </c>
    </row>
    <row r="246" spans="2:6" x14ac:dyDescent="0.3">
      <c r="B246" s="6"/>
      <c r="C246" s="41" t="e">
        <f>VLOOKUP(B246,'Planilha de Apoio'!G:H,2,0)</f>
        <v>#N/A</v>
      </c>
      <c r="D246" s="6"/>
      <c r="E246" s="59"/>
      <c r="F246" s="60">
        <f t="shared" si="3"/>
        <v>0</v>
      </c>
    </row>
    <row r="247" spans="2:6" x14ac:dyDescent="0.3">
      <c r="B247" s="6"/>
      <c r="C247" s="41" t="e">
        <f>VLOOKUP(B247,'Planilha de Apoio'!G:H,2,0)</f>
        <v>#N/A</v>
      </c>
      <c r="D247" s="6"/>
      <c r="E247" s="59"/>
      <c r="F247" s="60">
        <f t="shared" si="3"/>
        <v>0</v>
      </c>
    </row>
    <row r="248" spans="2:6" x14ac:dyDescent="0.3">
      <c r="B248" s="6"/>
      <c r="C248" s="41" t="e">
        <f>VLOOKUP(B248,'Planilha de Apoio'!G:H,2,0)</f>
        <v>#N/A</v>
      </c>
      <c r="D248" s="6"/>
      <c r="E248" s="59"/>
      <c r="F248" s="60">
        <f t="shared" si="3"/>
        <v>0</v>
      </c>
    </row>
    <row r="249" spans="2:6" x14ac:dyDescent="0.3">
      <c r="B249" s="6"/>
      <c r="C249" s="41" t="e">
        <f>VLOOKUP(B249,'Planilha de Apoio'!G:H,2,0)</f>
        <v>#N/A</v>
      </c>
      <c r="D249" s="6"/>
      <c r="E249" s="59"/>
      <c r="F249" s="60">
        <f t="shared" si="3"/>
        <v>0</v>
      </c>
    </row>
    <row r="250" spans="2:6" x14ac:dyDescent="0.3">
      <c r="B250" s="6"/>
      <c r="C250" s="41" t="e">
        <f>VLOOKUP(B250,'Planilha de Apoio'!G:H,2,0)</f>
        <v>#N/A</v>
      </c>
      <c r="D250" s="6"/>
      <c r="E250" s="59"/>
      <c r="F250" s="60">
        <f t="shared" si="3"/>
        <v>0</v>
      </c>
    </row>
    <row r="251" spans="2:6" x14ac:dyDescent="0.3">
      <c r="B251" s="6"/>
      <c r="C251" s="41" t="e">
        <f>VLOOKUP(B251,'Planilha de Apoio'!G:H,2,0)</f>
        <v>#N/A</v>
      </c>
      <c r="D251" s="6"/>
      <c r="E251" s="59"/>
      <c r="F251" s="60">
        <f t="shared" si="3"/>
        <v>0</v>
      </c>
    </row>
    <row r="252" spans="2:6" x14ac:dyDescent="0.3">
      <c r="B252" s="6"/>
      <c r="C252" s="41" t="e">
        <f>VLOOKUP(B252,'Planilha de Apoio'!G:H,2,0)</f>
        <v>#N/A</v>
      </c>
      <c r="D252" s="6"/>
      <c r="E252" s="59"/>
      <c r="F252" s="60">
        <f t="shared" si="3"/>
        <v>0</v>
      </c>
    </row>
    <row r="253" spans="2:6" x14ac:dyDescent="0.3">
      <c r="B253" s="6"/>
      <c r="C253" s="41" t="e">
        <f>VLOOKUP(B253,'Planilha de Apoio'!G:H,2,0)</f>
        <v>#N/A</v>
      </c>
      <c r="D253" s="6"/>
      <c r="E253" s="59"/>
      <c r="F253" s="60">
        <f t="shared" si="3"/>
        <v>0</v>
      </c>
    </row>
    <row r="254" spans="2:6" x14ac:dyDescent="0.3">
      <c r="B254" s="6"/>
      <c r="C254" s="41" t="e">
        <f>VLOOKUP(B254,'Planilha de Apoio'!G:H,2,0)</f>
        <v>#N/A</v>
      </c>
      <c r="D254" s="6"/>
      <c r="E254" s="59"/>
      <c r="F254" s="60">
        <f t="shared" si="3"/>
        <v>0</v>
      </c>
    </row>
    <row r="255" spans="2:6" x14ac:dyDescent="0.3">
      <c r="B255" s="6"/>
      <c r="C255" s="41" t="e">
        <f>VLOOKUP(B255,'Planilha de Apoio'!G:H,2,0)</f>
        <v>#N/A</v>
      </c>
      <c r="D255" s="6"/>
      <c r="E255" s="59"/>
      <c r="F255" s="60">
        <f t="shared" si="3"/>
        <v>0</v>
      </c>
    </row>
    <row r="256" spans="2:6" x14ac:dyDescent="0.3">
      <c r="B256" s="6"/>
      <c r="C256" s="41" t="e">
        <f>VLOOKUP(B256,'Planilha de Apoio'!G:H,2,0)</f>
        <v>#N/A</v>
      </c>
      <c r="D256" s="6"/>
      <c r="E256" s="59"/>
      <c r="F256" s="60">
        <f t="shared" si="3"/>
        <v>0</v>
      </c>
    </row>
    <row r="257" spans="2:6" x14ac:dyDescent="0.3">
      <c r="B257" s="6"/>
      <c r="C257" s="41" t="e">
        <f>VLOOKUP(B257,'Planilha de Apoio'!G:H,2,0)</f>
        <v>#N/A</v>
      </c>
      <c r="D257" s="6"/>
      <c r="E257" s="59"/>
      <c r="F257" s="60">
        <f t="shared" si="3"/>
        <v>0</v>
      </c>
    </row>
    <row r="258" spans="2:6" x14ac:dyDescent="0.3">
      <c r="B258" s="6"/>
      <c r="C258" s="41" t="e">
        <f>VLOOKUP(B258,'Planilha de Apoio'!G:H,2,0)</f>
        <v>#N/A</v>
      </c>
      <c r="D258" s="6"/>
      <c r="E258" s="59"/>
      <c r="F258" s="60">
        <f t="shared" si="3"/>
        <v>0</v>
      </c>
    </row>
    <row r="259" spans="2:6" x14ac:dyDescent="0.3">
      <c r="B259" s="6"/>
      <c r="C259" s="41" t="e">
        <f>VLOOKUP(B259,'Planilha de Apoio'!G:H,2,0)</f>
        <v>#N/A</v>
      </c>
      <c r="D259" s="6"/>
      <c r="E259" s="59"/>
      <c r="F259" s="60">
        <f t="shared" si="3"/>
        <v>0</v>
      </c>
    </row>
    <row r="260" spans="2:6" x14ac:dyDescent="0.3">
      <c r="B260" s="6"/>
      <c r="C260" s="41" t="e">
        <f>VLOOKUP(B260,'Planilha de Apoio'!G:H,2,0)</f>
        <v>#N/A</v>
      </c>
      <c r="D260" s="6"/>
      <c r="E260" s="59"/>
      <c r="F260" s="60">
        <f t="shared" si="3"/>
        <v>0</v>
      </c>
    </row>
    <row r="261" spans="2:6" x14ac:dyDescent="0.3">
      <c r="B261" s="6"/>
      <c r="C261" s="41" t="e">
        <f>VLOOKUP(B261,'Planilha de Apoio'!G:H,2,0)</f>
        <v>#N/A</v>
      </c>
      <c r="D261" s="6"/>
      <c r="E261" s="59"/>
      <c r="F261" s="60">
        <f t="shared" si="3"/>
        <v>0</v>
      </c>
    </row>
    <row r="262" spans="2:6" x14ac:dyDescent="0.3">
      <c r="B262" s="6"/>
      <c r="C262" s="41" t="e">
        <f>VLOOKUP(B262,'Planilha de Apoio'!G:H,2,0)</f>
        <v>#N/A</v>
      </c>
      <c r="D262" s="6"/>
      <c r="E262" s="59"/>
      <c r="F262" s="60">
        <f t="shared" si="3"/>
        <v>0</v>
      </c>
    </row>
    <row r="263" spans="2:6" x14ac:dyDescent="0.3">
      <c r="B263" s="6"/>
      <c r="C263" s="41" t="e">
        <f>VLOOKUP(B263,'Planilha de Apoio'!G:H,2,0)</f>
        <v>#N/A</v>
      </c>
      <c r="D263" s="6"/>
      <c r="E263" s="59"/>
      <c r="F263" s="60">
        <f t="shared" si="3"/>
        <v>0</v>
      </c>
    </row>
    <row r="264" spans="2:6" x14ac:dyDescent="0.3">
      <c r="B264" s="6"/>
      <c r="C264" s="41" t="e">
        <f>VLOOKUP(B264,'Planilha de Apoio'!G:H,2,0)</f>
        <v>#N/A</v>
      </c>
      <c r="D264" s="6"/>
      <c r="E264" s="59"/>
      <c r="F264" s="60">
        <f t="shared" si="3"/>
        <v>0</v>
      </c>
    </row>
    <row r="265" spans="2:6" x14ac:dyDescent="0.3">
      <c r="B265" s="6"/>
      <c r="C265" s="41" t="e">
        <f>VLOOKUP(B265,'Planilha de Apoio'!G:H,2,0)</f>
        <v>#N/A</v>
      </c>
      <c r="D265" s="6"/>
      <c r="E265" s="59"/>
      <c r="F265" s="60">
        <f t="shared" si="3"/>
        <v>0</v>
      </c>
    </row>
    <row r="266" spans="2:6" x14ac:dyDescent="0.3">
      <c r="B266" s="6"/>
      <c r="C266" s="41" t="e">
        <f>VLOOKUP(B266,'Planilha de Apoio'!G:H,2,0)</f>
        <v>#N/A</v>
      </c>
      <c r="D266" s="6"/>
      <c r="E266" s="59"/>
      <c r="F266" s="60">
        <f t="shared" si="3"/>
        <v>0</v>
      </c>
    </row>
    <row r="267" spans="2:6" x14ac:dyDescent="0.3">
      <c r="B267" s="6"/>
      <c r="C267" s="41" t="e">
        <f>VLOOKUP(B267,'Planilha de Apoio'!G:H,2,0)</f>
        <v>#N/A</v>
      </c>
      <c r="D267" s="6"/>
      <c r="E267" s="59"/>
      <c r="F267" s="60">
        <f t="shared" si="3"/>
        <v>0</v>
      </c>
    </row>
    <row r="268" spans="2:6" x14ac:dyDescent="0.3">
      <c r="B268" s="6"/>
      <c r="C268" s="41" t="e">
        <f>VLOOKUP(B268,'Planilha de Apoio'!G:H,2,0)</f>
        <v>#N/A</v>
      </c>
      <c r="D268" s="6"/>
      <c r="E268" s="59"/>
      <c r="F268" s="60">
        <f t="shared" si="3"/>
        <v>0</v>
      </c>
    </row>
    <row r="269" spans="2:6" x14ac:dyDescent="0.3">
      <c r="B269" s="6"/>
      <c r="C269" s="41" t="e">
        <f>VLOOKUP(B269,'Planilha de Apoio'!G:H,2,0)</f>
        <v>#N/A</v>
      </c>
      <c r="D269" s="6"/>
      <c r="E269" s="59"/>
      <c r="F269" s="60">
        <f t="shared" si="3"/>
        <v>0</v>
      </c>
    </row>
    <row r="270" spans="2:6" x14ac:dyDescent="0.3">
      <c r="B270" s="6"/>
      <c r="C270" s="41" t="e">
        <f>VLOOKUP(B270,'Planilha de Apoio'!G:H,2,0)</f>
        <v>#N/A</v>
      </c>
      <c r="D270" s="6"/>
      <c r="E270" s="59"/>
      <c r="F270" s="60">
        <f t="shared" si="3"/>
        <v>0</v>
      </c>
    </row>
    <row r="271" spans="2:6" x14ac:dyDescent="0.3">
      <c r="B271" s="6"/>
      <c r="C271" s="41" t="e">
        <f>VLOOKUP(B271,'Planilha de Apoio'!G:H,2,0)</f>
        <v>#N/A</v>
      </c>
      <c r="D271" s="6"/>
      <c r="E271" s="59"/>
      <c r="F271" s="60">
        <f t="shared" ref="F271:F334" si="4">D271*E271</f>
        <v>0</v>
      </c>
    </row>
    <row r="272" spans="2:6" x14ac:dyDescent="0.3">
      <c r="B272" s="6"/>
      <c r="C272" s="41" t="e">
        <f>VLOOKUP(B272,'Planilha de Apoio'!G:H,2,0)</f>
        <v>#N/A</v>
      </c>
      <c r="D272" s="6"/>
      <c r="E272" s="59"/>
      <c r="F272" s="60">
        <f t="shared" si="4"/>
        <v>0</v>
      </c>
    </row>
    <row r="273" spans="2:6" x14ac:dyDescent="0.3">
      <c r="B273" s="6"/>
      <c r="C273" s="41" t="e">
        <f>VLOOKUP(B273,'Planilha de Apoio'!G:H,2,0)</f>
        <v>#N/A</v>
      </c>
      <c r="D273" s="6"/>
      <c r="E273" s="59"/>
      <c r="F273" s="60">
        <f t="shared" si="4"/>
        <v>0</v>
      </c>
    </row>
    <row r="274" spans="2:6" x14ac:dyDescent="0.3">
      <c r="B274" s="6"/>
      <c r="C274" s="41" t="e">
        <f>VLOOKUP(B274,'Planilha de Apoio'!G:H,2,0)</f>
        <v>#N/A</v>
      </c>
      <c r="D274" s="6"/>
      <c r="E274" s="59"/>
      <c r="F274" s="60">
        <f t="shared" si="4"/>
        <v>0</v>
      </c>
    </row>
    <row r="275" spans="2:6" x14ac:dyDescent="0.3">
      <c r="B275" s="6"/>
      <c r="C275" s="41" t="e">
        <f>VLOOKUP(B275,'Planilha de Apoio'!G:H,2,0)</f>
        <v>#N/A</v>
      </c>
      <c r="D275" s="6"/>
      <c r="E275" s="59"/>
      <c r="F275" s="60">
        <f t="shared" si="4"/>
        <v>0</v>
      </c>
    </row>
    <row r="276" spans="2:6" x14ac:dyDescent="0.3">
      <c r="B276" s="6"/>
      <c r="C276" s="41" t="e">
        <f>VLOOKUP(B276,'Planilha de Apoio'!G:H,2,0)</f>
        <v>#N/A</v>
      </c>
      <c r="D276" s="6"/>
      <c r="E276" s="59"/>
      <c r="F276" s="60">
        <f t="shared" si="4"/>
        <v>0</v>
      </c>
    </row>
    <row r="277" spans="2:6" x14ac:dyDescent="0.3">
      <c r="B277" s="6"/>
      <c r="C277" s="41" t="e">
        <f>VLOOKUP(B277,'Planilha de Apoio'!G:H,2,0)</f>
        <v>#N/A</v>
      </c>
      <c r="D277" s="6"/>
      <c r="E277" s="59"/>
      <c r="F277" s="60">
        <f t="shared" si="4"/>
        <v>0</v>
      </c>
    </row>
    <row r="278" spans="2:6" x14ac:dyDescent="0.3">
      <c r="B278" s="6"/>
      <c r="C278" s="41" t="e">
        <f>VLOOKUP(B278,'Planilha de Apoio'!G:H,2,0)</f>
        <v>#N/A</v>
      </c>
      <c r="D278" s="6"/>
      <c r="E278" s="59"/>
      <c r="F278" s="60">
        <f t="shared" si="4"/>
        <v>0</v>
      </c>
    </row>
    <row r="279" spans="2:6" x14ac:dyDescent="0.3">
      <c r="B279" s="6"/>
      <c r="C279" s="41" t="e">
        <f>VLOOKUP(B279,'Planilha de Apoio'!G:H,2,0)</f>
        <v>#N/A</v>
      </c>
      <c r="D279" s="6"/>
      <c r="E279" s="59"/>
      <c r="F279" s="60">
        <f t="shared" si="4"/>
        <v>0</v>
      </c>
    </row>
    <row r="280" spans="2:6" x14ac:dyDescent="0.3">
      <c r="B280" s="6"/>
      <c r="C280" s="41" t="e">
        <f>VLOOKUP(B280,'Planilha de Apoio'!G:H,2,0)</f>
        <v>#N/A</v>
      </c>
      <c r="D280" s="6"/>
      <c r="E280" s="59"/>
      <c r="F280" s="60">
        <f t="shared" si="4"/>
        <v>0</v>
      </c>
    </row>
    <row r="281" spans="2:6" x14ac:dyDescent="0.3">
      <c r="B281" s="6"/>
      <c r="C281" s="41" t="e">
        <f>VLOOKUP(B281,'Planilha de Apoio'!G:H,2,0)</f>
        <v>#N/A</v>
      </c>
      <c r="D281" s="6"/>
      <c r="E281" s="59"/>
      <c r="F281" s="60">
        <f t="shared" si="4"/>
        <v>0</v>
      </c>
    </row>
    <row r="282" spans="2:6" x14ac:dyDescent="0.3">
      <c r="B282" s="6"/>
      <c r="C282" s="41" t="e">
        <f>VLOOKUP(B282,'Planilha de Apoio'!G:H,2,0)</f>
        <v>#N/A</v>
      </c>
      <c r="D282" s="6"/>
      <c r="E282" s="59"/>
      <c r="F282" s="60">
        <f t="shared" si="4"/>
        <v>0</v>
      </c>
    </row>
    <row r="283" spans="2:6" x14ac:dyDescent="0.3">
      <c r="B283" s="6"/>
      <c r="C283" s="41" t="e">
        <f>VLOOKUP(B283,'Planilha de Apoio'!G:H,2,0)</f>
        <v>#N/A</v>
      </c>
      <c r="D283" s="6"/>
      <c r="E283" s="59"/>
      <c r="F283" s="60">
        <f t="shared" si="4"/>
        <v>0</v>
      </c>
    </row>
    <row r="284" spans="2:6" x14ac:dyDescent="0.3">
      <c r="B284" s="6"/>
      <c r="C284" s="41" t="e">
        <f>VLOOKUP(B284,'Planilha de Apoio'!G:H,2,0)</f>
        <v>#N/A</v>
      </c>
      <c r="D284" s="6"/>
      <c r="E284" s="59"/>
      <c r="F284" s="60">
        <f t="shared" si="4"/>
        <v>0</v>
      </c>
    </row>
    <row r="285" spans="2:6" x14ac:dyDescent="0.3">
      <c r="B285" s="6"/>
      <c r="C285" s="41" t="e">
        <f>VLOOKUP(B285,'Planilha de Apoio'!G:H,2,0)</f>
        <v>#N/A</v>
      </c>
      <c r="D285" s="6"/>
      <c r="E285" s="59"/>
      <c r="F285" s="60">
        <f t="shared" si="4"/>
        <v>0</v>
      </c>
    </row>
    <row r="286" spans="2:6" x14ac:dyDescent="0.3">
      <c r="B286" s="6"/>
      <c r="C286" s="41" t="e">
        <f>VLOOKUP(B286,'Planilha de Apoio'!G:H,2,0)</f>
        <v>#N/A</v>
      </c>
      <c r="D286" s="6"/>
      <c r="E286" s="59"/>
      <c r="F286" s="60">
        <f t="shared" si="4"/>
        <v>0</v>
      </c>
    </row>
    <row r="287" spans="2:6" x14ac:dyDescent="0.3">
      <c r="B287" s="6"/>
      <c r="C287" s="41" t="e">
        <f>VLOOKUP(B287,'Planilha de Apoio'!G:H,2,0)</f>
        <v>#N/A</v>
      </c>
      <c r="D287" s="6"/>
      <c r="E287" s="59"/>
      <c r="F287" s="60">
        <f t="shared" si="4"/>
        <v>0</v>
      </c>
    </row>
    <row r="288" spans="2:6" x14ac:dyDescent="0.3">
      <c r="B288" s="6"/>
      <c r="C288" s="41" t="e">
        <f>VLOOKUP(B288,'Planilha de Apoio'!G:H,2,0)</f>
        <v>#N/A</v>
      </c>
      <c r="D288" s="6"/>
      <c r="E288" s="59"/>
      <c r="F288" s="60">
        <f t="shared" si="4"/>
        <v>0</v>
      </c>
    </row>
    <row r="289" spans="2:6" x14ac:dyDescent="0.3">
      <c r="B289" s="6"/>
      <c r="C289" s="41" t="e">
        <f>VLOOKUP(B289,'Planilha de Apoio'!G:H,2,0)</f>
        <v>#N/A</v>
      </c>
      <c r="D289" s="6"/>
      <c r="E289" s="59"/>
      <c r="F289" s="60">
        <f t="shared" si="4"/>
        <v>0</v>
      </c>
    </row>
    <row r="290" spans="2:6" x14ac:dyDescent="0.3">
      <c r="B290" s="6"/>
      <c r="C290" s="41" t="e">
        <f>VLOOKUP(B290,'Planilha de Apoio'!G:H,2,0)</f>
        <v>#N/A</v>
      </c>
      <c r="D290" s="6"/>
      <c r="E290" s="59"/>
      <c r="F290" s="60">
        <f t="shared" si="4"/>
        <v>0</v>
      </c>
    </row>
    <row r="291" spans="2:6" x14ac:dyDescent="0.3">
      <c r="B291" s="6"/>
      <c r="C291" s="41" t="e">
        <f>VLOOKUP(B291,'Planilha de Apoio'!G:H,2,0)</f>
        <v>#N/A</v>
      </c>
      <c r="D291" s="6"/>
      <c r="E291" s="59"/>
      <c r="F291" s="60">
        <f t="shared" si="4"/>
        <v>0</v>
      </c>
    </row>
    <row r="292" spans="2:6" x14ac:dyDescent="0.3">
      <c r="B292" s="6"/>
      <c r="C292" s="41" t="e">
        <f>VLOOKUP(B292,'Planilha de Apoio'!G:H,2,0)</f>
        <v>#N/A</v>
      </c>
      <c r="D292" s="6"/>
      <c r="E292" s="59"/>
      <c r="F292" s="60">
        <f t="shared" si="4"/>
        <v>0</v>
      </c>
    </row>
    <row r="293" spans="2:6" x14ac:dyDescent="0.3">
      <c r="B293" s="6"/>
      <c r="C293" s="41" t="e">
        <f>VLOOKUP(B293,'Planilha de Apoio'!G:H,2,0)</f>
        <v>#N/A</v>
      </c>
      <c r="D293" s="6"/>
      <c r="E293" s="59"/>
      <c r="F293" s="60">
        <f t="shared" si="4"/>
        <v>0</v>
      </c>
    </row>
    <row r="294" spans="2:6" x14ac:dyDescent="0.3">
      <c r="B294" s="6"/>
      <c r="C294" s="41" t="e">
        <f>VLOOKUP(B294,'Planilha de Apoio'!G:H,2,0)</f>
        <v>#N/A</v>
      </c>
      <c r="D294" s="6"/>
      <c r="E294" s="59"/>
      <c r="F294" s="60">
        <f t="shared" si="4"/>
        <v>0</v>
      </c>
    </row>
    <row r="295" spans="2:6" x14ac:dyDescent="0.3">
      <c r="B295" s="6"/>
      <c r="C295" s="41" t="e">
        <f>VLOOKUP(B295,'Planilha de Apoio'!G:H,2,0)</f>
        <v>#N/A</v>
      </c>
      <c r="D295" s="6"/>
      <c r="E295" s="59"/>
      <c r="F295" s="60">
        <f t="shared" si="4"/>
        <v>0</v>
      </c>
    </row>
    <row r="296" spans="2:6" x14ac:dyDescent="0.3">
      <c r="B296" s="6"/>
      <c r="C296" s="41" t="e">
        <f>VLOOKUP(B296,'Planilha de Apoio'!G:H,2,0)</f>
        <v>#N/A</v>
      </c>
      <c r="D296" s="6"/>
      <c r="E296" s="59"/>
      <c r="F296" s="60">
        <f t="shared" si="4"/>
        <v>0</v>
      </c>
    </row>
    <row r="297" spans="2:6" x14ac:dyDescent="0.3">
      <c r="B297" s="6"/>
      <c r="C297" s="41" t="e">
        <f>VLOOKUP(B297,'Planilha de Apoio'!G:H,2,0)</f>
        <v>#N/A</v>
      </c>
      <c r="D297" s="6"/>
      <c r="E297" s="59"/>
      <c r="F297" s="60">
        <f t="shared" si="4"/>
        <v>0</v>
      </c>
    </row>
    <row r="298" spans="2:6" x14ac:dyDescent="0.3">
      <c r="B298" s="6"/>
      <c r="C298" s="41" t="e">
        <f>VLOOKUP(B298,'Planilha de Apoio'!G:H,2,0)</f>
        <v>#N/A</v>
      </c>
      <c r="D298" s="6"/>
      <c r="E298" s="59"/>
      <c r="F298" s="60">
        <f t="shared" si="4"/>
        <v>0</v>
      </c>
    </row>
    <row r="299" spans="2:6" x14ac:dyDescent="0.3">
      <c r="B299" s="6"/>
      <c r="C299" s="41" t="e">
        <f>VLOOKUP(B299,'Planilha de Apoio'!G:H,2,0)</f>
        <v>#N/A</v>
      </c>
      <c r="D299" s="6"/>
      <c r="E299" s="59"/>
      <c r="F299" s="60">
        <f t="shared" si="4"/>
        <v>0</v>
      </c>
    </row>
    <row r="300" spans="2:6" x14ac:dyDescent="0.3">
      <c r="B300" s="6"/>
      <c r="C300" s="41" t="e">
        <f>VLOOKUP(B300,'Planilha de Apoio'!G:H,2,0)</f>
        <v>#N/A</v>
      </c>
      <c r="D300" s="6"/>
      <c r="E300" s="59"/>
      <c r="F300" s="60">
        <f t="shared" si="4"/>
        <v>0</v>
      </c>
    </row>
    <row r="301" spans="2:6" x14ac:dyDescent="0.3">
      <c r="B301" s="6"/>
      <c r="C301" s="41" t="e">
        <f>VLOOKUP(B301,'Planilha de Apoio'!G:H,2,0)</f>
        <v>#N/A</v>
      </c>
      <c r="D301" s="6"/>
      <c r="E301" s="59"/>
      <c r="F301" s="60">
        <f t="shared" si="4"/>
        <v>0</v>
      </c>
    </row>
    <row r="302" spans="2:6" x14ac:dyDescent="0.3">
      <c r="B302" s="6"/>
      <c r="C302" s="41" t="e">
        <f>VLOOKUP(B302,'Planilha de Apoio'!G:H,2,0)</f>
        <v>#N/A</v>
      </c>
      <c r="D302" s="6"/>
      <c r="E302" s="59"/>
      <c r="F302" s="60">
        <f t="shared" si="4"/>
        <v>0</v>
      </c>
    </row>
    <row r="303" spans="2:6" x14ac:dyDescent="0.3">
      <c r="B303" s="6"/>
      <c r="C303" s="41" t="e">
        <f>VLOOKUP(B303,'Planilha de Apoio'!G:H,2,0)</f>
        <v>#N/A</v>
      </c>
      <c r="D303" s="6"/>
      <c r="E303" s="59"/>
      <c r="F303" s="60">
        <f t="shared" si="4"/>
        <v>0</v>
      </c>
    </row>
    <row r="304" spans="2:6" x14ac:dyDescent="0.3">
      <c r="B304" s="6"/>
      <c r="C304" s="41" t="e">
        <f>VLOOKUP(B304,'Planilha de Apoio'!G:H,2,0)</f>
        <v>#N/A</v>
      </c>
      <c r="D304" s="6"/>
      <c r="E304" s="59"/>
      <c r="F304" s="60">
        <f t="shared" si="4"/>
        <v>0</v>
      </c>
    </row>
    <row r="305" spans="2:6" x14ac:dyDescent="0.3">
      <c r="B305" s="6"/>
      <c r="C305" s="41" t="e">
        <f>VLOOKUP(B305,'Planilha de Apoio'!G:H,2,0)</f>
        <v>#N/A</v>
      </c>
      <c r="D305" s="6"/>
      <c r="E305" s="59"/>
      <c r="F305" s="60">
        <f t="shared" si="4"/>
        <v>0</v>
      </c>
    </row>
    <row r="306" spans="2:6" x14ac:dyDescent="0.3">
      <c r="B306" s="6"/>
      <c r="C306" s="41" t="e">
        <f>VLOOKUP(B306,'Planilha de Apoio'!G:H,2,0)</f>
        <v>#N/A</v>
      </c>
      <c r="D306" s="6"/>
      <c r="E306" s="59"/>
      <c r="F306" s="60">
        <f t="shared" si="4"/>
        <v>0</v>
      </c>
    </row>
    <row r="307" spans="2:6" x14ac:dyDescent="0.3">
      <c r="B307" s="6"/>
      <c r="C307" s="41" t="e">
        <f>VLOOKUP(B307,'Planilha de Apoio'!G:H,2,0)</f>
        <v>#N/A</v>
      </c>
      <c r="D307" s="6"/>
      <c r="E307" s="59"/>
      <c r="F307" s="60">
        <f t="shared" si="4"/>
        <v>0</v>
      </c>
    </row>
    <row r="308" spans="2:6" x14ac:dyDescent="0.3">
      <c r="B308" s="6"/>
      <c r="C308" s="41" t="e">
        <f>VLOOKUP(B308,'Planilha de Apoio'!G:H,2,0)</f>
        <v>#N/A</v>
      </c>
      <c r="D308" s="6"/>
      <c r="E308" s="59"/>
      <c r="F308" s="60">
        <f t="shared" si="4"/>
        <v>0</v>
      </c>
    </row>
    <row r="309" spans="2:6" x14ac:dyDescent="0.3">
      <c r="B309" s="6"/>
      <c r="C309" s="41" t="e">
        <f>VLOOKUP(B309,'Planilha de Apoio'!G:H,2,0)</f>
        <v>#N/A</v>
      </c>
      <c r="D309" s="6"/>
      <c r="E309" s="59"/>
      <c r="F309" s="60">
        <f t="shared" si="4"/>
        <v>0</v>
      </c>
    </row>
    <row r="310" spans="2:6" x14ac:dyDescent="0.3">
      <c r="B310" s="6"/>
      <c r="C310" s="41" t="e">
        <f>VLOOKUP(B310,'Planilha de Apoio'!G:H,2,0)</f>
        <v>#N/A</v>
      </c>
      <c r="D310" s="6"/>
      <c r="E310" s="59"/>
      <c r="F310" s="60">
        <f t="shared" si="4"/>
        <v>0</v>
      </c>
    </row>
    <row r="311" spans="2:6" x14ac:dyDescent="0.3">
      <c r="B311" s="6"/>
      <c r="C311" s="41" t="e">
        <f>VLOOKUP(B311,'Planilha de Apoio'!G:H,2,0)</f>
        <v>#N/A</v>
      </c>
      <c r="D311" s="6"/>
      <c r="E311" s="59"/>
      <c r="F311" s="60">
        <f t="shared" si="4"/>
        <v>0</v>
      </c>
    </row>
    <row r="312" spans="2:6" x14ac:dyDescent="0.3">
      <c r="B312" s="6"/>
      <c r="C312" s="41" t="e">
        <f>VLOOKUP(B312,'Planilha de Apoio'!G:H,2,0)</f>
        <v>#N/A</v>
      </c>
      <c r="D312" s="6"/>
      <c r="E312" s="59"/>
      <c r="F312" s="60">
        <f t="shared" si="4"/>
        <v>0</v>
      </c>
    </row>
    <row r="313" spans="2:6" x14ac:dyDescent="0.3">
      <c r="B313" s="6"/>
      <c r="C313" s="41" t="e">
        <f>VLOOKUP(B313,'Planilha de Apoio'!G:H,2,0)</f>
        <v>#N/A</v>
      </c>
      <c r="D313" s="6"/>
      <c r="E313" s="59"/>
      <c r="F313" s="60">
        <f t="shared" si="4"/>
        <v>0</v>
      </c>
    </row>
    <row r="314" spans="2:6" x14ac:dyDescent="0.3">
      <c r="B314" s="6"/>
      <c r="C314" s="41" t="e">
        <f>VLOOKUP(B314,'Planilha de Apoio'!G:H,2,0)</f>
        <v>#N/A</v>
      </c>
      <c r="D314" s="6"/>
      <c r="E314" s="59"/>
      <c r="F314" s="60">
        <f t="shared" si="4"/>
        <v>0</v>
      </c>
    </row>
    <row r="315" spans="2:6" x14ac:dyDescent="0.3">
      <c r="B315" s="6"/>
      <c r="C315" s="41" t="e">
        <f>VLOOKUP(B315,'Planilha de Apoio'!G:H,2,0)</f>
        <v>#N/A</v>
      </c>
      <c r="D315" s="6"/>
      <c r="E315" s="59"/>
      <c r="F315" s="60">
        <f t="shared" si="4"/>
        <v>0</v>
      </c>
    </row>
    <row r="316" spans="2:6" x14ac:dyDescent="0.3">
      <c r="B316" s="6"/>
      <c r="C316" s="41" t="e">
        <f>VLOOKUP(B316,'Planilha de Apoio'!G:H,2,0)</f>
        <v>#N/A</v>
      </c>
      <c r="D316" s="6"/>
      <c r="E316" s="59"/>
      <c r="F316" s="60">
        <f t="shared" si="4"/>
        <v>0</v>
      </c>
    </row>
    <row r="317" spans="2:6" x14ac:dyDescent="0.3">
      <c r="B317" s="6"/>
      <c r="C317" s="41" t="e">
        <f>VLOOKUP(B317,'Planilha de Apoio'!G:H,2,0)</f>
        <v>#N/A</v>
      </c>
      <c r="D317" s="6"/>
      <c r="E317" s="59"/>
      <c r="F317" s="60">
        <f t="shared" si="4"/>
        <v>0</v>
      </c>
    </row>
    <row r="318" spans="2:6" x14ac:dyDescent="0.3">
      <c r="B318" s="6"/>
      <c r="C318" s="41" t="e">
        <f>VLOOKUP(B318,'Planilha de Apoio'!G:H,2,0)</f>
        <v>#N/A</v>
      </c>
      <c r="D318" s="6"/>
      <c r="E318" s="59"/>
      <c r="F318" s="60">
        <f t="shared" si="4"/>
        <v>0</v>
      </c>
    </row>
    <row r="319" spans="2:6" x14ac:dyDescent="0.3">
      <c r="B319" s="6"/>
      <c r="C319" s="41" t="e">
        <f>VLOOKUP(B319,'Planilha de Apoio'!G:H,2,0)</f>
        <v>#N/A</v>
      </c>
      <c r="D319" s="6"/>
      <c r="E319" s="59"/>
      <c r="F319" s="60">
        <f t="shared" si="4"/>
        <v>0</v>
      </c>
    </row>
    <row r="320" spans="2:6" x14ac:dyDescent="0.3">
      <c r="B320" s="6"/>
      <c r="C320" s="41" t="e">
        <f>VLOOKUP(B320,'Planilha de Apoio'!G:H,2,0)</f>
        <v>#N/A</v>
      </c>
      <c r="D320" s="6"/>
      <c r="E320" s="59"/>
      <c r="F320" s="60">
        <f t="shared" si="4"/>
        <v>0</v>
      </c>
    </row>
    <row r="321" spans="2:6" x14ac:dyDescent="0.3">
      <c r="B321" s="6"/>
      <c r="C321" s="41" t="e">
        <f>VLOOKUP(B321,'Planilha de Apoio'!G:H,2,0)</f>
        <v>#N/A</v>
      </c>
      <c r="D321" s="6"/>
      <c r="E321" s="59"/>
      <c r="F321" s="60">
        <f t="shared" si="4"/>
        <v>0</v>
      </c>
    </row>
    <row r="322" spans="2:6" x14ac:dyDescent="0.3">
      <c r="B322" s="6"/>
      <c r="C322" s="41" t="e">
        <f>VLOOKUP(B322,'Planilha de Apoio'!G:H,2,0)</f>
        <v>#N/A</v>
      </c>
      <c r="D322" s="6"/>
      <c r="E322" s="59"/>
      <c r="F322" s="60">
        <f t="shared" si="4"/>
        <v>0</v>
      </c>
    </row>
    <row r="323" spans="2:6" x14ac:dyDescent="0.3">
      <c r="B323" s="6"/>
      <c r="C323" s="41" t="e">
        <f>VLOOKUP(B323,'Planilha de Apoio'!G:H,2,0)</f>
        <v>#N/A</v>
      </c>
      <c r="D323" s="6"/>
      <c r="E323" s="59"/>
      <c r="F323" s="60">
        <f t="shared" si="4"/>
        <v>0</v>
      </c>
    </row>
    <row r="324" spans="2:6" x14ac:dyDescent="0.3">
      <c r="B324" s="6"/>
      <c r="C324" s="41" t="e">
        <f>VLOOKUP(B324,'Planilha de Apoio'!G:H,2,0)</f>
        <v>#N/A</v>
      </c>
      <c r="D324" s="6"/>
      <c r="E324" s="59"/>
      <c r="F324" s="60">
        <f t="shared" si="4"/>
        <v>0</v>
      </c>
    </row>
    <row r="325" spans="2:6" x14ac:dyDescent="0.3">
      <c r="B325" s="6"/>
      <c r="C325" s="41" t="e">
        <f>VLOOKUP(B325,'Planilha de Apoio'!G:H,2,0)</f>
        <v>#N/A</v>
      </c>
      <c r="D325" s="6"/>
      <c r="E325" s="59"/>
      <c r="F325" s="60">
        <f t="shared" si="4"/>
        <v>0</v>
      </c>
    </row>
    <row r="326" spans="2:6" x14ac:dyDescent="0.3">
      <c r="B326" s="6"/>
      <c r="C326" s="41" t="e">
        <f>VLOOKUP(B326,'Planilha de Apoio'!G:H,2,0)</f>
        <v>#N/A</v>
      </c>
      <c r="D326" s="6"/>
      <c r="E326" s="59"/>
      <c r="F326" s="60">
        <f t="shared" si="4"/>
        <v>0</v>
      </c>
    </row>
    <row r="327" spans="2:6" x14ac:dyDescent="0.3">
      <c r="B327" s="6"/>
      <c r="C327" s="41" t="e">
        <f>VLOOKUP(B327,'Planilha de Apoio'!G:H,2,0)</f>
        <v>#N/A</v>
      </c>
      <c r="D327" s="6"/>
      <c r="E327" s="59"/>
      <c r="F327" s="60">
        <f t="shared" si="4"/>
        <v>0</v>
      </c>
    </row>
    <row r="328" spans="2:6" x14ac:dyDescent="0.3">
      <c r="B328" s="6"/>
      <c r="C328" s="41" t="e">
        <f>VLOOKUP(B328,'Planilha de Apoio'!G:H,2,0)</f>
        <v>#N/A</v>
      </c>
      <c r="D328" s="6"/>
      <c r="E328" s="59"/>
      <c r="F328" s="60">
        <f t="shared" si="4"/>
        <v>0</v>
      </c>
    </row>
    <row r="329" spans="2:6" x14ac:dyDescent="0.3">
      <c r="B329" s="6"/>
      <c r="C329" s="41" t="e">
        <f>VLOOKUP(B329,'Planilha de Apoio'!G:H,2,0)</f>
        <v>#N/A</v>
      </c>
      <c r="D329" s="6"/>
      <c r="E329" s="59"/>
      <c r="F329" s="60">
        <f t="shared" si="4"/>
        <v>0</v>
      </c>
    </row>
    <row r="330" spans="2:6" x14ac:dyDescent="0.3">
      <c r="B330" s="6"/>
      <c r="C330" s="41" t="e">
        <f>VLOOKUP(B330,'Planilha de Apoio'!G:H,2,0)</f>
        <v>#N/A</v>
      </c>
      <c r="D330" s="6"/>
      <c r="E330" s="59"/>
      <c r="F330" s="60">
        <f t="shared" si="4"/>
        <v>0</v>
      </c>
    </row>
    <row r="331" spans="2:6" x14ac:dyDescent="0.3">
      <c r="B331" s="6"/>
      <c r="C331" s="41" t="e">
        <f>VLOOKUP(B331,'Planilha de Apoio'!G:H,2,0)</f>
        <v>#N/A</v>
      </c>
      <c r="D331" s="6"/>
      <c r="E331" s="59"/>
      <c r="F331" s="60">
        <f t="shared" si="4"/>
        <v>0</v>
      </c>
    </row>
    <row r="332" spans="2:6" x14ac:dyDescent="0.3">
      <c r="B332" s="6"/>
      <c r="C332" s="41" t="e">
        <f>VLOOKUP(B332,'Planilha de Apoio'!G:H,2,0)</f>
        <v>#N/A</v>
      </c>
      <c r="D332" s="6"/>
      <c r="E332" s="59"/>
      <c r="F332" s="60">
        <f t="shared" si="4"/>
        <v>0</v>
      </c>
    </row>
    <row r="333" spans="2:6" x14ac:dyDescent="0.3">
      <c r="B333" s="6"/>
      <c r="C333" s="41" t="e">
        <f>VLOOKUP(B333,'Planilha de Apoio'!G:H,2,0)</f>
        <v>#N/A</v>
      </c>
      <c r="D333" s="6"/>
      <c r="E333" s="59"/>
      <c r="F333" s="60">
        <f t="shared" si="4"/>
        <v>0</v>
      </c>
    </row>
    <row r="334" spans="2:6" x14ac:dyDescent="0.3">
      <c r="B334" s="6"/>
      <c r="C334" s="41" t="e">
        <f>VLOOKUP(B334,'Planilha de Apoio'!G:H,2,0)</f>
        <v>#N/A</v>
      </c>
      <c r="D334" s="6"/>
      <c r="E334" s="59"/>
      <c r="F334" s="60">
        <f t="shared" si="4"/>
        <v>0</v>
      </c>
    </row>
    <row r="335" spans="2:6" x14ac:dyDescent="0.3">
      <c r="B335" s="6"/>
      <c r="C335" s="41" t="e">
        <f>VLOOKUP(B335,'Planilha de Apoio'!G:H,2,0)</f>
        <v>#N/A</v>
      </c>
      <c r="D335" s="6"/>
      <c r="E335" s="59"/>
      <c r="F335" s="60">
        <f t="shared" ref="F335:F398" si="5">D335*E335</f>
        <v>0</v>
      </c>
    </row>
    <row r="336" spans="2:6" x14ac:dyDescent="0.3">
      <c r="B336" s="6"/>
      <c r="C336" s="41" t="e">
        <f>VLOOKUP(B336,'Planilha de Apoio'!G:H,2,0)</f>
        <v>#N/A</v>
      </c>
      <c r="D336" s="6"/>
      <c r="E336" s="59"/>
      <c r="F336" s="60">
        <f t="shared" si="5"/>
        <v>0</v>
      </c>
    </row>
    <row r="337" spans="2:6" x14ac:dyDescent="0.3">
      <c r="B337" s="6"/>
      <c r="C337" s="41" t="e">
        <f>VLOOKUP(B337,'Planilha de Apoio'!G:H,2,0)</f>
        <v>#N/A</v>
      </c>
      <c r="D337" s="6"/>
      <c r="E337" s="59"/>
      <c r="F337" s="60">
        <f t="shared" si="5"/>
        <v>0</v>
      </c>
    </row>
    <row r="338" spans="2:6" x14ac:dyDescent="0.3">
      <c r="B338" s="6"/>
      <c r="C338" s="41" t="e">
        <f>VLOOKUP(B338,'Planilha de Apoio'!G:H,2,0)</f>
        <v>#N/A</v>
      </c>
      <c r="D338" s="6"/>
      <c r="E338" s="59"/>
      <c r="F338" s="60">
        <f t="shared" si="5"/>
        <v>0</v>
      </c>
    </row>
    <row r="339" spans="2:6" x14ac:dyDescent="0.3">
      <c r="B339" s="6"/>
      <c r="C339" s="41" t="e">
        <f>VLOOKUP(B339,'Planilha de Apoio'!G:H,2,0)</f>
        <v>#N/A</v>
      </c>
      <c r="D339" s="6"/>
      <c r="E339" s="59"/>
      <c r="F339" s="60">
        <f t="shared" si="5"/>
        <v>0</v>
      </c>
    </row>
    <row r="340" spans="2:6" x14ac:dyDescent="0.3">
      <c r="B340" s="6"/>
      <c r="C340" s="41" t="e">
        <f>VLOOKUP(B340,'Planilha de Apoio'!G:H,2,0)</f>
        <v>#N/A</v>
      </c>
      <c r="D340" s="6"/>
      <c r="E340" s="59"/>
      <c r="F340" s="60">
        <f t="shared" si="5"/>
        <v>0</v>
      </c>
    </row>
    <row r="341" spans="2:6" x14ac:dyDescent="0.3">
      <c r="B341" s="6"/>
      <c r="C341" s="41" t="e">
        <f>VLOOKUP(B341,'Planilha de Apoio'!G:H,2,0)</f>
        <v>#N/A</v>
      </c>
      <c r="D341" s="6"/>
      <c r="E341" s="59"/>
      <c r="F341" s="60">
        <f t="shared" si="5"/>
        <v>0</v>
      </c>
    </row>
    <row r="342" spans="2:6" x14ac:dyDescent="0.3">
      <c r="B342" s="6"/>
      <c r="C342" s="41" t="e">
        <f>VLOOKUP(B342,'Planilha de Apoio'!G:H,2,0)</f>
        <v>#N/A</v>
      </c>
      <c r="D342" s="6"/>
      <c r="E342" s="59"/>
      <c r="F342" s="60">
        <f t="shared" si="5"/>
        <v>0</v>
      </c>
    </row>
    <row r="343" spans="2:6" x14ac:dyDescent="0.3">
      <c r="B343" s="6"/>
      <c r="C343" s="41" t="e">
        <f>VLOOKUP(B343,'Planilha de Apoio'!G:H,2,0)</f>
        <v>#N/A</v>
      </c>
      <c r="D343" s="6"/>
      <c r="E343" s="59"/>
      <c r="F343" s="60">
        <f t="shared" si="5"/>
        <v>0</v>
      </c>
    </row>
    <row r="344" spans="2:6" x14ac:dyDescent="0.3">
      <c r="B344" s="6"/>
      <c r="C344" s="41" t="e">
        <f>VLOOKUP(B344,'Planilha de Apoio'!G:H,2,0)</f>
        <v>#N/A</v>
      </c>
      <c r="D344" s="6"/>
      <c r="E344" s="59"/>
      <c r="F344" s="60">
        <f t="shared" si="5"/>
        <v>0</v>
      </c>
    </row>
    <row r="345" spans="2:6" x14ac:dyDescent="0.3">
      <c r="B345" s="6"/>
      <c r="C345" s="41" t="e">
        <f>VLOOKUP(B345,'Planilha de Apoio'!G:H,2,0)</f>
        <v>#N/A</v>
      </c>
      <c r="D345" s="6"/>
      <c r="E345" s="59"/>
      <c r="F345" s="60">
        <f t="shared" si="5"/>
        <v>0</v>
      </c>
    </row>
    <row r="346" spans="2:6" x14ac:dyDescent="0.3">
      <c r="B346" s="6"/>
      <c r="C346" s="41" t="e">
        <f>VLOOKUP(B346,'Planilha de Apoio'!G:H,2,0)</f>
        <v>#N/A</v>
      </c>
      <c r="D346" s="6"/>
      <c r="E346" s="59"/>
      <c r="F346" s="60">
        <f t="shared" si="5"/>
        <v>0</v>
      </c>
    </row>
    <row r="347" spans="2:6" x14ac:dyDescent="0.3">
      <c r="B347" s="6"/>
      <c r="C347" s="41" t="e">
        <f>VLOOKUP(B347,'Planilha de Apoio'!G:H,2,0)</f>
        <v>#N/A</v>
      </c>
      <c r="D347" s="6"/>
      <c r="E347" s="59"/>
      <c r="F347" s="60">
        <f t="shared" si="5"/>
        <v>0</v>
      </c>
    </row>
    <row r="348" spans="2:6" x14ac:dyDescent="0.3">
      <c r="B348" s="6"/>
      <c r="C348" s="41" t="e">
        <f>VLOOKUP(B348,'Planilha de Apoio'!G:H,2,0)</f>
        <v>#N/A</v>
      </c>
      <c r="D348" s="6"/>
      <c r="E348" s="59"/>
      <c r="F348" s="60">
        <f t="shared" si="5"/>
        <v>0</v>
      </c>
    </row>
    <row r="349" spans="2:6" x14ac:dyDescent="0.3">
      <c r="B349" s="6"/>
      <c r="C349" s="41" t="e">
        <f>VLOOKUP(B349,'Planilha de Apoio'!G:H,2,0)</f>
        <v>#N/A</v>
      </c>
      <c r="D349" s="6"/>
      <c r="E349" s="59"/>
      <c r="F349" s="60">
        <f t="shared" si="5"/>
        <v>0</v>
      </c>
    </row>
    <row r="350" spans="2:6" x14ac:dyDescent="0.3">
      <c r="B350" s="6"/>
      <c r="C350" s="41" t="e">
        <f>VLOOKUP(B350,'Planilha de Apoio'!G:H,2,0)</f>
        <v>#N/A</v>
      </c>
      <c r="D350" s="6"/>
      <c r="E350" s="59"/>
      <c r="F350" s="60">
        <f t="shared" si="5"/>
        <v>0</v>
      </c>
    </row>
    <row r="351" spans="2:6" x14ac:dyDescent="0.3">
      <c r="B351" s="6"/>
      <c r="C351" s="41" t="e">
        <f>VLOOKUP(B351,'Planilha de Apoio'!G:H,2,0)</f>
        <v>#N/A</v>
      </c>
      <c r="D351" s="6"/>
      <c r="E351" s="59"/>
      <c r="F351" s="60">
        <f t="shared" si="5"/>
        <v>0</v>
      </c>
    </row>
    <row r="352" spans="2:6" x14ac:dyDescent="0.3">
      <c r="B352" s="6"/>
      <c r="C352" s="41" t="e">
        <f>VLOOKUP(B352,'Planilha de Apoio'!G:H,2,0)</f>
        <v>#N/A</v>
      </c>
      <c r="D352" s="6"/>
      <c r="E352" s="59"/>
      <c r="F352" s="60">
        <f t="shared" si="5"/>
        <v>0</v>
      </c>
    </row>
    <row r="353" spans="2:6" x14ac:dyDescent="0.3">
      <c r="B353" s="6"/>
      <c r="C353" s="41" t="e">
        <f>VLOOKUP(B353,'Planilha de Apoio'!G:H,2,0)</f>
        <v>#N/A</v>
      </c>
      <c r="D353" s="6"/>
      <c r="E353" s="59"/>
      <c r="F353" s="60">
        <f t="shared" si="5"/>
        <v>0</v>
      </c>
    </row>
    <row r="354" spans="2:6" x14ac:dyDescent="0.3">
      <c r="B354" s="6"/>
      <c r="C354" s="41" t="e">
        <f>VLOOKUP(B354,'Planilha de Apoio'!G:H,2,0)</f>
        <v>#N/A</v>
      </c>
      <c r="D354" s="6"/>
      <c r="E354" s="59"/>
      <c r="F354" s="60">
        <f t="shared" si="5"/>
        <v>0</v>
      </c>
    </row>
    <row r="355" spans="2:6" x14ac:dyDescent="0.3">
      <c r="B355" s="6"/>
      <c r="C355" s="41" t="e">
        <f>VLOOKUP(B355,'Planilha de Apoio'!G:H,2,0)</f>
        <v>#N/A</v>
      </c>
      <c r="D355" s="6"/>
      <c r="E355" s="59"/>
      <c r="F355" s="60">
        <f t="shared" si="5"/>
        <v>0</v>
      </c>
    </row>
    <row r="356" spans="2:6" x14ac:dyDescent="0.3">
      <c r="B356" s="6"/>
      <c r="C356" s="41" t="e">
        <f>VLOOKUP(B356,'Planilha de Apoio'!G:H,2,0)</f>
        <v>#N/A</v>
      </c>
      <c r="D356" s="6"/>
      <c r="E356" s="59"/>
      <c r="F356" s="60">
        <f t="shared" si="5"/>
        <v>0</v>
      </c>
    </row>
    <row r="357" spans="2:6" x14ac:dyDescent="0.3">
      <c r="B357" s="6"/>
      <c r="C357" s="41" t="e">
        <f>VLOOKUP(B357,'Planilha de Apoio'!G:H,2,0)</f>
        <v>#N/A</v>
      </c>
      <c r="D357" s="6"/>
      <c r="E357" s="59"/>
      <c r="F357" s="60">
        <f t="shared" si="5"/>
        <v>0</v>
      </c>
    </row>
    <row r="358" spans="2:6" x14ac:dyDescent="0.3">
      <c r="B358" s="6"/>
      <c r="C358" s="41" t="e">
        <f>VLOOKUP(B358,'Planilha de Apoio'!G:H,2,0)</f>
        <v>#N/A</v>
      </c>
      <c r="D358" s="6"/>
      <c r="E358" s="59"/>
      <c r="F358" s="60">
        <f t="shared" si="5"/>
        <v>0</v>
      </c>
    </row>
    <row r="359" spans="2:6" x14ac:dyDescent="0.3">
      <c r="B359" s="6"/>
      <c r="C359" s="41" t="e">
        <f>VLOOKUP(B359,'Planilha de Apoio'!G:H,2,0)</f>
        <v>#N/A</v>
      </c>
      <c r="D359" s="6"/>
      <c r="E359" s="59"/>
      <c r="F359" s="60">
        <f t="shared" si="5"/>
        <v>0</v>
      </c>
    </row>
    <row r="360" spans="2:6" x14ac:dyDescent="0.3">
      <c r="B360" s="6"/>
      <c r="C360" s="41" t="e">
        <f>VLOOKUP(B360,'Planilha de Apoio'!G:H,2,0)</f>
        <v>#N/A</v>
      </c>
      <c r="D360" s="6"/>
      <c r="E360" s="59"/>
      <c r="F360" s="60">
        <f t="shared" si="5"/>
        <v>0</v>
      </c>
    </row>
    <row r="361" spans="2:6" x14ac:dyDescent="0.3">
      <c r="B361" s="6"/>
      <c r="C361" s="41" t="e">
        <f>VLOOKUP(B361,'Planilha de Apoio'!G:H,2,0)</f>
        <v>#N/A</v>
      </c>
      <c r="D361" s="6"/>
      <c r="E361" s="59"/>
      <c r="F361" s="60">
        <f t="shared" si="5"/>
        <v>0</v>
      </c>
    </row>
    <row r="362" spans="2:6" x14ac:dyDescent="0.3">
      <c r="B362" s="6"/>
      <c r="C362" s="41" t="e">
        <f>VLOOKUP(B362,'Planilha de Apoio'!G:H,2,0)</f>
        <v>#N/A</v>
      </c>
      <c r="D362" s="6"/>
      <c r="E362" s="59"/>
      <c r="F362" s="60">
        <f t="shared" si="5"/>
        <v>0</v>
      </c>
    </row>
    <row r="363" spans="2:6" x14ac:dyDescent="0.3">
      <c r="B363" s="6"/>
      <c r="C363" s="41" t="e">
        <f>VLOOKUP(B363,'Planilha de Apoio'!G:H,2,0)</f>
        <v>#N/A</v>
      </c>
      <c r="D363" s="6"/>
      <c r="E363" s="59"/>
      <c r="F363" s="60">
        <f t="shared" si="5"/>
        <v>0</v>
      </c>
    </row>
    <row r="364" spans="2:6" x14ac:dyDescent="0.3">
      <c r="B364" s="6"/>
      <c r="C364" s="41" t="e">
        <f>VLOOKUP(B364,'Planilha de Apoio'!G:H,2,0)</f>
        <v>#N/A</v>
      </c>
      <c r="D364" s="6"/>
      <c r="E364" s="59"/>
      <c r="F364" s="60">
        <f t="shared" si="5"/>
        <v>0</v>
      </c>
    </row>
    <row r="365" spans="2:6" x14ac:dyDescent="0.3">
      <c r="B365" s="6"/>
      <c r="C365" s="41" t="e">
        <f>VLOOKUP(B365,'Planilha de Apoio'!G:H,2,0)</f>
        <v>#N/A</v>
      </c>
      <c r="D365" s="6"/>
      <c r="E365" s="59"/>
      <c r="F365" s="60">
        <f t="shared" si="5"/>
        <v>0</v>
      </c>
    </row>
    <row r="366" spans="2:6" x14ac:dyDescent="0.3">
      <c r="B366" s="6"/>
      <c r="C366" s="41" t="e">
        <f>VLOOKUP(B366,'Planilha de Apoio'!G:H,2,0)</f>
        <v>#N/A</v>
      </c>
      <c r="D366" s="6"/>
      <c r="E366" s="59"/>
      <c r="F366" s="60">
        <f t="shared" si="5"/>
        <v>0</v>
      </c>
    </row>
    <row r="367" spans="2:6" x14ac:dyDescent="0.3">
      <c r="B367" s="6"/>
      <c r="C367" s="41" t="e">
        <f>VLOOKUP(B367,'Planilha de Apoio'!G:H,2,0)</f>
        <v>#N/A</v>
      </c>
      <c r="D367" s="6"/>
      <c r="E367" s="59"/>
      <c r="F367" s="60">
        <f t="shared" si="5"/>
        <v>0</v>
      </c>
    </row>
    <row r="368" spans="2:6" x14ac:dyDescent="0.3">
      <c r="B368" s="6"/>
      <c r="C368" s="41" t="e">
        <f>VLOOKUP(B368,'Planilha de Apoio'!G:H,2,0)</f>
        <v>#N/A</v>
      </c>
      <c r="D368" s="6"/>
      <c r="E368" s="59"/>
      <c r="F368" s="60">
        <f t="shared" si="5"/>
        <v>0</v>
      </c>
    </row>
    <row r="369" spans="2:6" x14ac:dyDescent="0.3">
      <c r="B369" s="6"/>
      <c r="C369" s="41" t="e">
        <f>VLOOKUP(B369,'Planilha de Apoio'!G:H,2,0)</f>
        <v>#N/A</v>
      </c>
      <c r="D369" s="6"/>
      <c r="E369" s="59"/>
      <c r="F369" s="60">
        <f t="shared" si="5"/>
        <v>0</v>
      </c>
    </row>
    <row r="370" spans="2:6" x14ac:dyDescent="0.3">
      <c r="B370" s="6"/>
      <c r="C370" s="41" t="e">
        <f>VLOOKUP(B370,'Planilha de Apoio'!G:H,2,0)</f>
        <v>#N/A</v>
      </c>
      <c r="D370" s="6"/>
      <c r="E370" s="59"/>
      <c r="F370" s="60">
        <f t="shared" si="5"/>
        <v>0</v>
      </c>
    </row>
    <row r="371" spans="2:6" x14ac:dyDescent="0.3">
      <c r="B371" s="6"/>
      <c r="C371" s="41" t="e">
        <f>VLOOKUP(B371,'Planilha de Apoio'!G:H,2,0)</f>
        <v>#N/A</v>
      </c>
      <c r="D371" s="6"/>
      <c r="E371" s="59"/>
      <c r="F371" s="60">
        <f t="shared" si="5"/>
        <v>0</v>
      </c>
    </row>
    <row r="372" spans="2:6" x14ac:dyDescent="0.3">
      <c r="B372" s="6"/>
      <c r="C372" s="41" t="e">
        <f>VLOOKUP(B372,'Planilha de Apoio'!G:H,2,0)</f>
        <v>#N/A</v>
      </c>
      <c r="D372" s="6"/>
      <c r="E372" s="59"/>
      <c r="F372" s="60">
        <f t="shared" si="5"/>
        <v>0</v>
      </c>
    </row>
    <row r="373" spans="2:6" x14ac:dyDescent="0.3">
      <c r="B373" s="6"/>
      <c r="C373" s="41" t="e">
        <f>VLOOKUP(B373,'Planilha de Apoio'!G:H,2,0)</f>
        <v>#N/A</v>
      </c>
      <c r="D373" s="6"/>
      <c r="E373" s="59"/>
      <c r="F373" s="60">
        <f t="shared" si="5"/>
        <v>0</v>
      </c>
    </row>
    <row r="374" spans="2:6" x14ac:dyDescent="0.3">
      <c r="B374" s="6"/>
      <c r="C374" s="41" t="e">
        <f>VLOOKUP(B374,'Planilha de Apoio'!G:H,2,0)</f>
        <v>#N/A</v>
      </c>
      <c r="D374" s="6"/>
      <c r="E374" s="59"/>
      <c r="F374" s="60">
        <f t="shared" si="5"/>
        <v>0</v>
      </c>
    </row>
    <row r="375" spans="2:6" x14ac:dyDescent="0.3">
      <c r="B375" s="6"/>
      <c r="C375" s="41" t="e">
        <f>VLOOKUP(B375,'Planilha de Apoio'!G:H,2,0)</f>
        <v>#N/A</v>
      </c>
      <c r="D375" s="6"/>
      <c r="E375" s="59"/>
      <c r="F375" s="60">
        <f t="shared" si="5"/>
        <v>0</v>
      </c>
    </row>
    <row r="376" spans="2:6" x14ac:dyDescent="0.3">
      <c r="B376" s="6"/>
      <c r="C376" s="41" t="e">
        <f>VLOOKUP(B376,'Planilha de Apoio'!G:H,2,0)</f>
        <v>#N/A</v>
      </c>
      <c r="D376" s="6"/>
      <c r="E376" s="59"/>
      <c r="F376" s="60">
        <f t="shared" si="5"/>
        <v>0</v>
      </c>
    </row>
    <row r="377" spans="2:6" x14ac:dyDescent="0.3">
      <c r="B377" s="6"/>
      <c r="C377" s="41" t="e">
        <f>VLOOKUP(B377,'Planilha de Apoio'!G:H,2,0)</f>
        <v>#N/A</v>
      </c>
      <c r="D377" s="6"/>
      <c r="E377" s="59"/>
      <c r="F377" s="60">
        <f t="shared" si="5"/>
        <v>0</v>
      </c>
    </row>
    <row r="378" spans="2:6" x14ac:dyDescent="0.3">
      <c r="B378" s="6"/>
      <c r="C378" s="41" t="e">
        <f>VLOOKUP(B378,'Planilha de Apoio'!G:H,2,0)</f>
        <v>#N/A</v>
      </c>
      <c r="D378" s="6"/>
      <c r="E378" s="59"/>
      <c r="F378" s="60">
        <f t="shared" si="5"/>
        <v>0</v>
      </c>
    </row>
    <row r="379" spans="2:6" x14ac:dyDescent="0.3">
      <c r="B379" s="6"/>
      <c r="C379" s="41" t="e">
        <f>VLOOKUP(B379,'Planilha de Apoio'!G:H,2,0)</f>
        <v>#N/A</v>
      </c>
      <c r="D379" s="6"/>
      <c r="E379" s="59"/>
      <c r="F379" s="60">
        <f t="shared" si="5"/>
        <v>0</v>
      </c>
    </row>
    <row r="380" spans="2:6" x14ac:dyDescent="0.3">
      <c r="B380" s="6"/>
      <c r="C380" s="41" t="e">
        <f>VLOOKUP(B380,'Planilha de Apoio'!G:H,2,0)</f>
        <v>#N/A</v>
      </c>
      <c r="D380" s="6"/>
      <c r="E380" s="59"/>
      <c r="F380" s="60">
        <f t="shared" si="5"/>
        <v>0</v>
      </c>
    </row>
    <row r="381" spans="2:6" x14ac:dyDescent="0.3">
      <c r="B381" s="6"/>
      <c r="C381" s="41" t="e">
        <f>VLOOKUP(B381,'Planilha de Apoio'!G:H,2,0)</f>
        <v>#N/A</v>
      </c>
      <c r="D381" s="6"/>
      <c r="E381" s="59"/>
      <c r="F381" s="60">
        <f t="shared" si="5"/>
        <v>0</v>
      </c>
    </row>
    <row r="382" spans="2:6" x14ac:dyDescent="0.3">
      <c r="B382" s="6"/>
      <c r="C382" s="41" t="e">
        <f>VLOOKUP(B382,'Planilha de Apoio'!G:H,2,0)</f>
        <v>#N/A</v>
      </c>
      <c r="D382" s="6"/>
      <c r="E382" s="59"/>
      <c r="F382" s="60">
        <f t="shared" si="5"/>
        <v>0</v>
      </c>
    </row>
    <row r="383" spans="2:6" x14ac:dyDescent="0.3">
      <c r="B383" s="6"/>
      <c r="C383" s="41" t="e">
        <f>VLOOKUP(B383,'Planilha de Apoio'!G:H,2,0)</f>
        <v>#N/A</v>
      </c>
      <c r="D383" s="6"/>
      <c r="E383" s="59"/>
      <c r="F383" s="60">
        <f t="shared" si="5"/>
        <v>0</v>
      </c>
    </row>
    <row r="384" spans="2:6" x14ac:dyDescent="0.3">
      <c r="B384" s="6"/>
      <c r="C384" s="41" t="e">
        <f>VLOOKUP(B384,'Planilha de Apoio'!G:H,2,0)</f>
        <v>#N/A</v>
      </c>
      <c r="D384" s="6"/>
      <c r="E384" s="59"/>
      <c r="F384" s="60">
        <f t="shared" si="5"/>
        <v>0</v>
      </c>
    </row>
    <row r="385" spans="2:6" x14ac:dyDescent="0.3">
      <c r="B385" s="6"/>
      <c r="C385" s="41" t="e">
        <f>VLOOKUP(B385,'Planilha de Apoio'!G:H,2,0)</f>
        <v>#N/A</v>
      </c>
      <c r="D385" s="6"/>
      <c r="E385" s="59"/>
      <c r="F385" s="60">
        <f t="shared" si="5"/>
        <v>0</v>
      </c>
    </row>
    <row r="386" spans="2:6" x14ac:dyDescent="0.3">
      <c r="B386" s="6"/>
      <c r="C386" s="41" t="e">
        <f>VLOOKUP(B386,'Planilha de Apoio'!G:H,2,0)</f>
        <v>#N/A</v>
      </c>
      <c r="D386" s="6"/>
      <c r="E386" s="59"/>
      <c r="F386" s="60">
        <f t="shared" si="5"/>
        <v>0</v>
      </c>
    </row>
    <row r="387" spans="2:6" x14ac:dyDescent="0.3">
      <c r="B387" s="6"/>
      <c r="C387" s="41" t="e">
        <f>VLOOKUP(B387,'Planilha de Apoio'!G:H,2,0)</f>
        <v>#N/A</v>
      </c>
      <c r="D387" s="6"/>
      <c r="E387" s="59"/>
      <c r="F387" s="60">
        <f t="shared" si="5"/>
        <v>0</v>
      </c>
    </row>
    <row r="388" spans="2:6" x14ac:dyDescent="0.3">
      <c r="B388" s="6"/>
      <c r="C388" s="41" t="e">
        <f>VLOOKUP(B388,'Planilha de Apoio'!G:H,2,0)</f>
        <v>#N/A</v>
      </c>
      <c r="D388" s="6"/>
      <c r="E388" s="59"/>
      <c r="F388" s="60">
        <f t="shared" si="5"/>
        <v>0</v>
      </c>
    </row>
    <row r="389" spans="2:6" x14ac:dyDescent="0.3">
      <c r="B389" s="6"/>
      <c r="C389" s="41" t="e">
        <f>VLOOKUP(B389,'Planilha de Apoio'!G:H,2,0)</f>
        <v>#N/A</v>
      </c>
      <c r="D389" s="6"/>
      <c r="E389" s="59"/>
      <c r="F389" s="60">
        <f t="shared" si="5"/>
        <v>0</v>
      </c>
    </row>
    <row r="390" spans="2:6" x14ac:dyDescent="0.3">
      <c r="B390" s="6"/>
      <c r="C390" s="41" t="e">
        <f>VLOOKUP(B390,'Planilha de Apoio'!G:H,2,0)</f>
        <v>#N/A</v>
      </c>
      <c r="D390" s="6"/>
      <c r="E390" s="59"/>
      <c r="F390" s="60">
        <f t="shared" si="5"/>
        <v>0</v>
      </c>
    </row>
    <row r="391" spans="2:6" x14ac:dyDescent="0.3">
      <c r="B391" s="6"/>
      <c r="C391" s="41" t="e">
        <f>VLOOKUP(B391,'Planilha de Apoio'!G:H,2,0)</f>
        <v>#N/A</v>
      </c>
      <c r="D391" s="6"/>
      <c r="E391" s="59"/>
      <c r="F391" s="60">
        <f t="shared" si="5"/>
        <v>0</v>
      </c>
    </row>
    <row r="392" spans="2:6" x14ac:dyDescent="0.3">
      <c r="B392" s="6"/>
      <c r="C392" s="41" t="e">
        <f>VLOOKUP(B392,'Planilha de Apoio'!G:H,2,0)</f>
        <v>#N/A</v>
      </c>
      <c r="D392" s="6"/>
      <c r="E392" s="59"/>
      <c r="F392" s="60">
        <f t="shared" si="5"/>
        <v>0</v>
      </c>
    </row>
    <row r="393" spans="2:6" x14ac:dyDescent="0.3">
      <c r="B393" s="6"/>
      <c r="C393" s="41" t="e">
        <f>VLOOKUP(B393,'Planilha de Apoio'!G:H,2,0)</f>
        <v>#N/A</v>
      </c>
      <c r="D393" s="6"/>
      <c r="E393" s="59"/>
      <c r="F393" s="60">
        <f t="shared" si="5"/>
        <v>0</v>
      </c>
    </row>
    <row r="394" spans="2:6" x14ac:dyDescent="0.3">
      <c r="B394" s="6"/>
      <c r="C394" s="41" t="e">
        <f>VLOOKUP(B394,'Planilha de Apoio'!G:H,2,0)</f>
        <v>#N/A</v>
      </c>
      <c r="D394" s="6"/>
      <c r="E394" s="59"/>
      <c r="F394" s="60">
        <f t="shared" si="5"/>
        <v>0</v>
      </c>
    </row>
    <row r="395" spans="2:6" x14ac:dyDescent="0.3">
      <c r="B395" s="6"/>
      <c r="C395" s="41" t="e">
        <f>VLOOKUP(B395,'Planilha de Apoio'!G:H,2,0)</f>
        <v>#N/A</v>
      </c>
      <c r="D395" s="6"/>
      <c r="E395" s="59"/>
      <c r="F395" s="60">
        <f t="shared" si="5"/>
        <v>0</v>
      </c>
    </row>
    <row r="396" spans="2:6" x14ac:dyDescent="0.3">
      <c r="B396" s="6"/>
      <c r="C396" s="41" t="e">
        <f>VLOOKUP(B396,'Planilha de Apoio'!G:H,2,0)</f>
        <v>#N/A</v>
      </c>
      <c r="D396" s="6"/>
      <c r="E396" s="59"/>
      <c r="F396" s="60">
        <f t="shared" si="5"/>
        <v>0</v>
      </c>
    </row>
    <row r="397" spans="2:6" x14ac:dyDescent="0.3">
      <c r="B397" s="6"/>
      <c r="C397" s="41" t="e">
        <f>VLOOKUP(B397,'Planilha de Apoio'!G:H,2,0)</f>
        <v>#N/A</v>
      </c>
      <c r="D397" s="6"/>
      <c r="E397" s="59"/>
      <c r="F397" s="60">
        <f t="shared" si="5"/>
        <v>0</v>
      </c>
    </row>
    <row r="398" spans="2:6" x14ac:dyDescent="0.3">
      <c r="B398" s="6"/>
      <c r="C398" s="41" t="e">
        <f>VLOOKUP(B398,'Planilha de Apoio'!G:H,2,0)</f>
        <v>#N/A</v>
      </c>
      <c r="D398" s="6"/>
      <c r="E398" s="59"/>
      <c r="F398" s="60">
        <f t="shared" si="5"/>
        <v>0</v>
      </c>
    </row>
    <row r="399" spans="2:6" x14ac:dyDescent="0.3">
      <c r="B399" s="6"/>
      <c r="C399" s="41" t="e">
        <f>VLOOKUP(B399,'Planilha de Apoio'!G:H,2,0)</f>
        <v>#N/A</v>
      </c>
      <c r="D399" s="6"/>
      <c r="E399" s="59"/>
      <c r="F399" s="60">
        <f t="shared" ref="F399:F462" si="6">D399*E399</f>
        <v>0</v>
      </c>
    </row>
    <row r="400" spans="2:6" x14ac:dyDescent="0.3">
      <c r="B400" s="6"/>
      <c r="C400" s="41" t="e">
        <f>VLOOKUP(B400,'Planilha de Apoio'!G:H,2,0)</f>
        <v>#N/A</v>
      </c>
      <c r="D400" s="6"/>
      <c r="E400" s="59"/>
      <c r="F400" s="60">
        <f t="shared" si="6"/>
        <v>0</v>
      </c>
    </row>
    <row r="401" spans="2:6" x14ac:dyDescent="0.3">
      <c r="B401" s="6"/>
      <c r="C401" s="41" t="e">
        <f>VLOOKUP(B401,'Planilha de Apoio'!G:H,2,0)</f>
        <v>#N/A</v>
      </c>
      <c r="D401" s="6"/>
      <c r="E401" s="59"/>
      <c r="F401" s="60">
        <f t="shared" si="6"/>
        <v>0</v>
      </c>
    </row>
    <row r="402" spans="2:6" x14ac:dyDescent="0.3">
      <c r="B402" s="6"/>
      <c r="C402" s="41" t="e">
        <f>VLOOKUP(B402,'Planilha de Apoio'!G:H,2,0)</f>
        <v>#N/A</v>
      </c>
      <c r="D402" s="6"/>
      <c r="E402" s="59"/>
      <c r="F402" s="60">
        <f t="shared" si="6"/>
        <v>0</v>
      </c>
    </row>
    <row r="403" spans="2:6" x14ac:dyDescent="0.3">
      <c r="B403" s="6"/>
      <c r="C403" s="41" t="e">
        <f>VLOOKUP(B403,'Planilha de Apoio'!G:H,2,0)</f>
        <v>#N/A</v>
      </c>
      <c r="D403" s="6"/>
      <c r="E403" s="59"/>
      <c r="F403" s="60">
        <f t="shared" si="6"/>
        <v>0</v>
      </c>
    </row>
    <row r="404" spans="2:6" x14ac:dyDescent="0.3">
      <c r="B404" s="6"/>
      <c r="C404" s="41" t="e">
        <f>VLOOKUP(B404,'Planilha de Apoio'!G:H,2,0)</f>
        <v>#N/A</v>
      </c>
      <c r="D404" s="6"/>
      <c r="E404" s="59"/>
      <c r="F404" s="60">
        <f t="shared" si="6"/>
        <v>0</v>
      </c>
    </row>
    <row r="405" spans="2:6" x14ac:dyDescent="0.3">
      <c r="B405" s="6"/>
      <c r="C405" s="41" t="e">
        <f>VLOOKUP(B405,'Planilha de Apoio'!G:H,2,0)</f>
        <v>#N/A</v>
      </c>
      <c r="D405" s="6"/>
      <c r="E405" s="59"/>
      <c r="F405" s="60">
        <f t="shared" si="6"/>
        <v>0</v>
      </c>
    </row>
    <row r="406" spans="2:6" x14ac:dyDescent="0.3">
      <c r="B406" s="6"/>
      <c r="C406" s="41" t="e">
        <f>VLOOKUP(B406,'Planilha de Apoio'!G:H,2,0)</f>
        <v>#N/A</v>
      </c>
      <c r="D406" s="6"/>
      <c r="E406" s="59"/>
      <c r="F406" s="60">
        <f t="shared" si="6"/>
        <v>0</v>
      </c>
    </row>
    <row r="407" spans="2:6" x14ac:dyDescent="0.3">
      <c r="B407" s="6"/>
      <c r="C407" s="41" t="e">
        <f>VLOOKUP(B407,'Planilha de Apoio'!G:H,2,0)</f>
        <v>#N/A</v>
      </c>
      <c r="D407" s="6"/>
      <c r="E407" s="59"/>
      <c r="F407" s="60">
        <f t="shared" si="6"/>
        <v>0</v>
      </c>
    </row>
    <row r="408" spans="2:6" x14ac:dyDescent="0.3">
      <c r="B408" s="6"/>
      <c r="C408" s="41" t="e">
        <f>VLOOKUP(B408,'Planilha de Apoio'!G:H,2,0)</f>
        <v>#N/A</v>
      </c>
      <c r="D408" s="6"/>
      <c r="E408" s="59"/>
      <c r="F408" s="60">
        <f t="shared" si="6"/>
        <v>0</v>
      </c>
    </row>
    <row r="409" spans="2:6" x14ac:dyDescent="0.3">
      <c r="B409" s="6"/>
      <c r="C409" s="41" t="e">
        <f>VLOOKUP(B409,'Planilha de Apoio'!G:H,2,0)</f>
        <v>#N/A</v>
      </c>
      <c r="D409" s="6"/>
      <c r="E409" s="59"/>
      <c r="F409" s="60">
        <f t="shared" si="6"/>
        <v>0</v>
      </c>
    </row>
    <row r="410" spans="2:6" x14ac:dyDescent="0.3">
      <c r="B410" s="6"/>
      <c r="C410" s="41" t="e">
        <f>VLOOKUP(B410,'Planilha de Apoio'!G:H,2,0)</f>
        <v>#N/A</v>
      </c>
      <c r="D410" s="6"/>
      <c r="E410" s="59"/>
      <c r="F410" s="60">
        <f t="shared" si="6"/>
        <v>0</v>
      </c>
    </row>
    <row r="411" spans="2:6" x14ac:dyDescent="0.3">
      <c r="B411" s="6"/>
      <c r="C411" s="41" t="e">
        <f>VLOOKUP(B411,'Planilha de Apoio'!G:H,2,0)</f>
        <v>#N/A</v>
      </c>
      <c r="D411" s="6"/>
      <c r="E411" s="59"/>
      <c r="F411" s="60">
        <f t="shared" si="6"/>
        <v>0</v>
      </c>
    </row>
    <row r="412" spans="2:6" x14ac:dyDescent="0.3">
      <c r="B412" s="6"/>
      <c r="C412" s="41" t="e">
        <f>VLOOKUP(B412,'Planilha de Apoio'!G:H,2,0)</f>
        <v>#N/A</v>
      </c>
      <c r="D412" s="6"/>
      <c r="E412" s="59"/>
      <c r="F412" s="60">
        <f t="shared" si="6"/>
        <v>0</v>
      </c>
    </row>
    <row r="413" spans="2:6" x14ac:dyDescent="0.3">
      <c r="B413" s="6"/>
      <c r="C413" s="41" t="e">
        <f>VLOOKUP(B413,'Planilha de Apoio'!G:H,2,0)</f>
        <v>#N/A</v>
      </c>
      <c r="D413" s="6"/>
      <c r="E413" s="59"/>
      <c r="F413" s="60">
        <f t="shared" si="6"/>
        <v>0</v>
      </c>
    </row>
    <row r="414" spans="2:6" x14ac:dyDescent="0.3">
      <c r="B414" s="6"/>
      <c r="C414" s="41" t="e">
        <f>VLOOKUP(B414,'Planilha de Apoio'!G:H,2,0)</f>
        <v>#N/A</v>
      </c>
      <c r="D414" s="6"/>
      <c r="E414" s="59"/>
      <c r="F414" s="60">
        <f t="shared" si="6"/>
        <v>0</v>
      </c>
    </row>
    <row r="415" spans="2:6" x14ac:dyDescent="0.3">
      <c r="B415" s="6"/>
      <c r="C415" s="41" t="e">
        <f>VLOOKUP(B415,'Planilha de Apoio'!G:H,2,0)</f>
        <v>#N/A</v>
      </c>
      <c r="D415" s="6"/>
      <c r="E415" s="59"/>
      <c r="F415" s="60">
        <f t="shared" si="6"/>
        <v>0</v>
      </c>
    </row>
    <row r="416" spans="2:6" x14ac:dyDescent="0.3">
      <c r="B416" s="6"/>
      <c r="C416" s="41" t="e">
        <f>VLOOKUP(B416,'Planilha de Apoio'!G:H,2,0)</f>
        <v>#N/A</v>
      </c>
      <c r="D416" s="6"/>
      <c r="E416" s="59"/>
      <c r="F416" s="60">
        <f t="shared" si="6"/>
        <v>0</v>
      </c>
    </row>
    <row r="417" spans="2:6" x14ac:dyDescent="0.3">
      <c r="B417" s="6"/>
      <c r="C417" s="41" t="e">
        <f>VLOOKUP(B417,'Planilha de Apoio'!G:H,2,0)</f>
        <v>#N/A</v>
      </c>
      <c r="D417" s="6"/>
      <c r="E417" s="59"/>
      <c r="F417" s="60">
        <f t="shared" si="6"/>
        <v>0</v>
      </c>
    </row>
    <row r="418" spans="2:6" x14ac:dyDescent="0.3">
      <c r="B418" s="6"/>
      <c r="C418" s="41" t="e">
        <f>VLOOKUP(B418,'Planilha de Apoio'!G:H,2,0)</f>
        <v>#N/A</v>
      </c>
      <c r="D418" s="6"/>
      <c r="E418" s="59"/>
      <c r="F418" s="60">
        <f t="shared" si="6"/>
        <v>0</v>
      </c>
    </row>
    <row r="419" spans="2:6" x14ac:dyDescent="0.3">
      <c r="B419" s="6"/>
      <c r="C419" s="41" t="e">
        <f>VLOOKUP(B419,'Planilha de Apoio'!G:H,2,0)</f>
        <v>#N/A</v>
      </c>
      <c r="D419" s="6"/>
      <c r="E419" s="59"/>
      <c r="F419" s="60">
        <f t="shared" si="6"/>
        <v>0</v>
      </c>
    </row>
    <row r="420" spans="2:6" x14ac:dyDescent="0.3">
      <c r="B420" s="6"/>
      <c r="C420" s="41" t="e">
        <f>VLOOKUP(B420,'Planilha de Apoio'!G:H,2,0)</f>
        <v>#N/A</v>
      </c>
      <c r="D420" s="6"/>
      <c r="E420" s="59"/>
      <c r="F420" s="60">
        <f t="shared" si="6"/>
        <v>0</v>
      </c>
    </row>
    <row r="421" spans="2:6" x14ac:dyDescent="0.3">
      <c r="B421" s="6"/>
      <c r="C421" s="41" t="e">
        <f>VLOOKUP(B421,'Planilha de Apoio'!G:H,2,0)</f>
        <v>#N/A</v>
      </c>
      <c r="D421" s="6"/>
      <c r="E421" s="59"/>
      <c r="F421" s="60">
        <f t="shared" si="6"/>
        <v>0</v>
      </c>
    </row>
    <row r="422" spans="2:6" x14ac:dyDescent="0.3">
      <c r="B422" s="6"/>
      <c r="C422" s="41" t="e">
        <f>VLOOKUP(B422,'Planilha de Apoio'!G:H,2,0)</f>
        <v>#N/A</v>
      </c>
      <c r="D422" s="6"/>
      <c r="E422" s="59"/>
      <c r="F422" s="60">
        <f t="shared" si="6"/>
        <v>0</v>
      </c>
    </row>
    <row r="423" spans="2:6" x14ac:dyDescent="0.3">
      <c r="B423" s="6"/>
      <c r="C423" s="41" t="e">
        <f>VLOOKUP(B423,'Planilha de Apoio'!G:H,2,0)</f>
        <v>#N/A</v>
      </c>
      <c r="D423" s="6"/>
      <c r="E423" s="59"/>
      <c r="F423" s="60">
        <f t="shared" si="6"/>
        <v>0</v>
      </c>
    </row>
    <row r="424" spans="2:6" x14ac:dyDescent="0.3">
      <c r="B424" s="6"/>
      <c r="C424" s="41" t="e">
        <f>VLOOKUP(B424,'Planilha de Apoio'!G:H,2,0)</f>
        <v>#N/A</v>
      </c>
      <c r="D424" s="6"/>
      <c r="E424" s="59"/>
      <c r="F424" s="60">
        <f t="shared" si="6"/>
        <v>0</v>
      </c>
    </row>
    <row r="425" spans="2:6" x14ac:dyDescent="0.3">
      <c r="B425" s="6"/>
      <c r="C425" s="41" t="e">
        <f>VLOOKUP(B425,'Planilha de Apoio'!G:H,2,0)</f>
        <v>#N/A</v>
      </c>
      <c r="D425" s="6"/>
      <c r="E425" s="59"/>
      <c r="F425" s="60">
        <f t="shared" si="6"/>
        <v>0</v>
      </c>
    </row>
    <row r="426" spans="2:6" x14ac:dyDescent="0.3">
      <c r="B426" s="6"/>
      <c r="C426" s="41" t="e">
        <f>VLOOKUP(B426,'Planilha de Apoio'!G:H,2,0)</f>
        <v>#N/A</v>
      </c>
      <c r="D426" s="6"/>
      <c r="E426" s="59"/>
      <c r="F426" s="60">
        <f t="shared" si="6"/>
        <v>0</v>
      </c>
    </row>
    <row r="427" spans="2:6" x14ac:dyDescent="0.3">
      <c r="B427" s="6"/>
      <c r="C427" s="41" t="e">
        <f>VLOOKUP(B427,'Planilha de Apoio'!G:H,2,0)</f>
        <v>#N/A</v>
      </c>
      <c r="D427" s="6"/>
      <c r="E427" s="59"/>
      <c r="F427" s="60">
        <f t="shared" si="6"/>
        <v>0</v>
      </c>
    </row>
    <row r="428" spans="2:6" x14ac:dyDescent="0.3">
      <c r="B428" s="6"/>
      <c r="C428" s="41" t="e">
        <f>VLOOKUP(B428,'Planilha de Apoio'!G:H,2,0)</f>
        <v>#N/A</v>
      </c>
      <c r="D428" s="6"/>
      <c r="E428" s="59"/>
      <c r="F428" s="60">
        <f t="shared" si="6"/>
        <v>0</v>
      </c>
    </row>
    <row r="429" spans="2:6" x14ac:dyDescent="0.3">
      <c r="B429" s="6"/>
      <c r="C429" s="41" t="e">
        <f>VLOOKUP(B429,'Planilha de Apoio'!G:H,2,0)</f>
        <v>#N/A</v>
      </c>
      <c r="D429" s="6"/>
      <c r="E429" s="59"/>
      <c r="F429" s="60">
        <f t="shared" si="6"/>
        <v>0</v>
      </c>
    </row>
    <row r="430" spans="2:6" x14ac:dyDescent="0.3">
      <c r="B430" s="6"/>
      <c r="C430" s="41" t="e">
        <f>VLOOKUP(B430,'Planilha de Apoio'!G:H,2,0)</f>
        <v>#N/A</v>
      </c>
      <c r="D430" s="6"/>
      <c r="E430" s="59"/>
      <c r="F430" s="60">
        <f t="shared" si="6"/>
        <v>0</v>
      </c>
    </row>
    <row r="431" spans="2:6" x14ac:dyDescent="0.3">
      <c r="B431" s="6"/>
      <c r="C431" s="41" t="e">
        <f>VLOOKUP(B431,'Planilha de Apoio'!G:H,2,0)</f>
        <v>#N/A</v>
      </c>
      <c r="D431" s="6"/>
      <c r="E431" s="59"/>
      <c r="F431" s="60">
        <f t="shared" si="6"/>
        <v>0</v>
      </c>
    </row>
    <row r="432" spans="2:6" x14ac:dyDescent="0.3">
      <c r="B432" s="6"/>
      <c r="C432" s="41" t="e">
        <f>VLOOKUP(B432,'Planilha de Apoio'!G:H,2,0)</f>
        <v>#N/A</v>
      </c>
      <c r="D432" s="6"/>
      <c r="E432" s="59"/>
      <c r="F432" s="60">
        <f t="shared" si="6"/>
        <v>0</v>
      </c>
    </row>
    <row r="433" spans="2:6" x14ac:dyDescent="0.3">
      <c r="B433" s="6"/>
      <c r="C433" s="41" t="e">
        <f>VLOOKUP(B433,'Planilha de Apoio'!G:H,2,0)</f>
        <v>#N/A</v>
      </c>
      <c r="D433" s="6"/>
      <c r="E433" s="59"/>
      <c r="F433" s="60">
        <f t="shared" si="6"/>
        <v>0</v>
      </c>
    </row>
    <row r="434" spans="2:6" x14ac:dyDescent="0.3">
      <c r="B434" s="6"/>
      <c r="C434" s="41" t="e">
        <f>VLOOKUP(B434,'Planilha de Apoio'!G:H,2,0)</f>
        <v>#N/A</v>
      </c>
      <c r="D434" s="6"/>
      <c r="E434" s="59"/>
      <c r="F434" s="60">
        <f t="shared" si="6"/>
        <v>0</v>
      </c>
    </row>
    <row r="435" spans="2:6" x14ac:dyDescent="0.3">
      <c r="B435" s="6"/>
      <c r="C435" s="41" t="e">
        <f>VLOOKUP(B435,'Planilha de Apoio'!G:H,2,0)</f>
        <v>#N/A</v>
      </c>
      <c r="D435" s="6"/>
      <c r="E435" s="59"/>
      <c r="F435" s="60">
        <f t="shared" si="6"/>
        <v>0</v>
      </c>
    </row>
    <row r="436" spans="2:6" x14ac:dyDescent="0.3">
      <c r="B436" s="6"/>
      <c r="C436" s="41" t="e">
        <f>VLOOKUP(B436,'Planilha de Apoio'!G:H,2,0)</f>
        <v>#N/A</v>
      </c>
      <c r="D436" s="6"/>
      <c r="E436" s="59"/>
      <c r="F436" s="60">
        <f t="shared" si="6"/>
        <v>0</v>
      </c>
    </row>
    <row r="437" spans="2:6" x14ac:dyDescent="0.3">
      <c r="B437" s="6"/>
      <c r="C437" s="41" t="e">
        <f>VLOOKUP(B437,'Planilha de Apoio'!G:H,2,0)</f>
        <v>#N/A</v>
      </c>
      <c r="D437" s="6"/>
      <c r="E437" s="59"/>
      <c r="F437" s="60">
        <f t="shared" si="6"/>
        <v>0</v>
      </c>
    </row>
    <row r="438" spans="2:6" x14ac:dyDescent="0.3">
      <c r="B438" s="6"/>
      <c r="C438" s="41" t="e">
        <f>VLOOKUP(B438,'Planilha de Apoio'!G:H,2,0)</f>
        <v>#N/A</v>
      </c>
      <c r="D438" s="6"/>
      <c r="E438" s="59"/>
      <c r="F438" s="60">
        <f t="shared" si="6"/>
        <v>0</v>
      </c>
    </row>
    <row r="439" spans="2:6" x14ac:dyDescent="0.3">
      <c r="B439" s="6"/>
      <c r="C439" s="41" t="e">
        <f>VLOOKUP(B439,'Planilha de Apoio'!G:H,2,0)</f>
        <v>#N/A</v>
      </c>
      <c r="D439" s="6"/>
      <c r="E439" s="59"/>
      <c r="F439" s="60">
        <f t="shared" si="6"/>
        <v>0</v>
      </c>
    </row>
    <row r="440" spans="2:6" x14ac:dyDescent="0.3">
      <c r="B440" s="6"/>
      <c r="C440" s="41" t="e">
        <f>VLOOKUP(B440,'Planilha de Apoio'!G:H,2,0)</f>
        <v>#N/A</v>
      </c>
      <c r="D440" s="6"/>
      <c r="E440" s="59"/>
      <c r="F440" s="60">
        <f t="shared" si="6"/>
        <v>0</v>
      </c>
    </row>
    <row r="441" spans="2:6" x14ac:dyDescent="0.3">
      <c r="B441" s="6"/>
      <c r="C441" s="41" t="e">
        <f>VLOOKUP(B441,'Planilha de Apoio'!G:H,2,0)</f>
        <v>#N/A</v>
      </c>
      <c r="D441" s="6"/>
      <c r="E441" s="59"/>
      <c r="F441" s="60">
        <f t="shared" si="6"/>
        <v>0</v>
      </c>
    </row>
    <row r="442" spans="2:6" x14ac:dyDescent="0.3">
      <c r="B442" s="6"/>
      <c r="C442" s="41" t="e">
        <f>VLOOKUP(B442,'Planilha de Apoio'!G:H,2,0)</f>
        <v>#N/A</v>
      </c>
      <c r="D442" s="6"/>
      <c r="E442" s="59"/>
      <c r="F442" s="60">
        <f t="shared" si="6"/>
        <v>0</v>
      </c>
    </row>
    <row r="443" spans="2:6" x14ac:dyDescent="0.3">
      <c r="B443" s="6"/>
      <c r="C443" s="41" t="e">
        <f>VLOOKUP(B443,'Planilha de Apoio'!G:H,2,0)</f>
        <v>#N/A</v>
      </c>
      <c r="D443" s="6"/>
      <c r="E443" s="59"/>
      <c r="F443" s="60">
        <f t="shared" si="6"/>
        <v>0</v>
      </c>
    </row>
    <row r="444" spans="2:6" x14ac:dyDescent="0.3">
      <c r="B444" s="6"/>
      <c r="C444" s="41" t="e">
        <f>VLOOKUP(B444,'Planilha de Apoio'!G:H,2,0)</f>
        <v>#N/A</v>
      </c>
      <c r="D444" s="6"/>
      <c r="E444" s="59"/>
      <c r="F444" s="60">
        <f t="shared" si="6"/>
        <v>0</v>
      </c>
    </row>
    <row r="445" spans="2:6" x14ac:dyDescent="0.3">
      <c r="B445" s="6"/>
      <c r="C445" s="41" t="e">
        <f>VLOOKUP(B445,'Planilha de Apoio'!G:H,2,0)</f>
        <v>#N/A</v>
      </c>
      <c r="D445" s="6"/>
      <c r="E445" s="59"/>
      <c r="F445" s="60">
        <f t="shared" si="6"/>
        <v>0</v>
      </c>
    </row>
    <row r="446" spans="2:6" x14ac:dyDescent="0.3">
      <c r="B446" s="6"/>
      <c r="C446" s="41" t="e">
        <f>VLOOKUP(B446,'Planilha de Apoio'!G:H,2,0)</f>
        <v>#N/A</v>
      </c>
      <c r="D446" s="6"/>
      <c r="E446" s="59"/>
      <c r="F446" s="60">
        <f t="shared" si="6"/>
        <v>0</v>
      </c>
    </row>
    <row r="447" spans="2:6" x14ac:dyDescent="0.3">
      <c r="B447" s="6"/>
      <c r="C447" s="41" t="e">
        <f>VLOOKUP(B447,'Planilha de Apoio'!G:H,2,0)</f>
        <v>#N/A</v>
      </c>
      <c r="D447" s="6"/>
      <c r="E447" s="59"/>
      <c r="F447" s="60">
        <f t="shared" si="6"/>
        <v>0</v>
      </c>
    </row>
    <row r="448" spans="2:6" x14ac:dyDescent="0.3">
      <c r="B448" s="6"/>
      <c r="C448" s="41" t="e">
        <f>VLOOKUP(B448,'Planilha de Apoio'!G:H,2,0)</f>
        <v>#N/A</v>
      </c>
      <c r="D448" s="6"/>
      <c r="E448" s="59"/>
      <c r="F448" s="60">
        <f t="shared" si="6"/>
        <v>0</v>
      </c>
    </row>
    <row r="449" spans="2:6" x14ac:dyDescent="0.3">
      <c r="B449" s="6"/>
      <c r="C449" s="41" t="e">
        <f>VLOOKUP(B449,'Planilha de Apoio'!G:H,2,0)</f>
        <v>#N/A</v>
      </c>
      <c r="D449" s="6"/>
      <c r="E449" s="59"/>
      <c r="F449" s="60">
        <f t="shared" si="6"/>
        <v>0</v>
      </c>
    </row>
    <row r="450" spans="2:6" x14ac:dyDescent="0.3">
      <c r="B450" s="6"/>
      <c r="C450" s="41" t="e">
        <f>VLOOKUP(B450,'Planilha de Apoio'!G:H,2,0)</f>
        <v>#N/A</v>
      </c>
      <c r="D450" s="6"/>
      <c r="E450" s="59"/>
      <c r="F450" s="60">
        <f t="shared" si="6"/>
        <v>0</v>
      </c>
    </row>
    <row r="451" spans="2:6" x14ac:dyDescent="0.3">
      <c r="B451" s="6"/>
      <c r="C451" s="41" t="e">
        <f>VLOOKUP(B451,'Planilha de Apoio'!G:H,2,0)</f>
        <v>#N/A</v>
      </c>
      <c r="D451" s="6"/>
      <c r="E451" s="59"/>
      <c r="F451" s="60">
        <f t="shared" si="6"/>
        <v>0</v>
      </c>
    </row>
    <row r="452" spans="2:6" x14ac:dyDescent="0.3">
      <c r="B452" s="6"/>
      <c r="C452" s="41" t="e">
        <f>VLOOKUP(B452,'Planilha de Apoio'!G:H,2,0)</f>
        <v>#N/A</v>
      </c>
      <c r="D452" s="6"/>
      <c r="E452" s="59"/>
      <c r="F452" s="60">
        <f t="shared" si="6"/>
        <v>0</v>
      </c>
    </row>
    <row r="453" spans="2:6" x14ac:dyDescent="0.3">
      <c r="B453" s="6"/>
      <c r="C453" s="41" t="e">
        <f>VLOOKUP(B453,'Planilha de Apoio'!G:H,2,0)</f>
        <v>#N/A</v>
      </c>
      <c r="D453" s="6"/>
      <c r="E453" s="59"/>
      <c r="F453" s="60">
        <f t="shared" si="6"/>
        <v>0</v>
      </c>
    </row>
    <row r="454" spans="2:6" x14ac:dyDescent="0.3">
      <c r="B454" s="6"/>
      <c r="C454" s="41" t="e">
        <f>VLOOKUP(B454,'Planilha de Apoio'!G:H,2,0)</f>
        <v>#N/A</v>
      </c>
      <c r="D454" s="6"/>
      <c r="E454" s="59"/>
      <c r="F454" s="60">
        <f t="shared" si="6"/>
        <v>0</v>
      </c>
    </row>
    <row r="455" spans="2:6" x14ac:dyDescent="0.3">
      <c r="B455" s="6"/>
      <c r="C455" s="41" t="e">
        <f>VLOOKUP(B455,'Planilha de Apoio'!G:H,2,0)</f>
        <v>#N/A</v>
      </c>
      <c r="D455" s="6"/>
      <c r="E455" s="59"/>
      <c r="F455" s="60">
        <f t="shared" si="6"/>
        <v>0</v>
      </c>
    </row>
    <row r="456" spans="2:6" x14ac:dyDescent="0.3">
      <c r="B456" s="6"/>
      <c r="C456" s="41" t="e">
        <f>VLOOKUP(B456,'Planilha de Apoio'!G:H,2,0)</f>
        <v>#N/A</v>
      </c>
      <c r="D456" s="6"/>
      <c r="E456" s="59"/>
      <c r="F456" s="60">
        <f t="shared" si="6"/>
        <v>0</v>
      </c>
    </row>
    <row r="457" spans="2:6" x14ac:dyDescent="0.3">
      <c r="B457" s="6"/>
      <c r="C457" s="41" t="e">
        <f>VLOOKUP(B457,'Planilha de Apoio'!G:H,2,0)</f>
        <v>#N/A</v>
      </c>
      <c r="D457" s="6"/>
      <c r="E457" s="59"/>
      <c r="F457" s="60">
        <f t="shared" si="6"/>
        <v>0</v>
      </c>
    </row>
    <row r="458" spans="2:6" x14ac:dyDescent="0.3">
      <c r="B458" s="6"/>
      <c r="C458" s="41" t="e">
        <f>VLOOKUP(B458,'Planilha de Apoio'!G:H,2,0)</f>
        <v>#N/A</v>
      </c>
      <c r="D458" s="6"/>
      <c r="E458" s="59"/>
      <c r="F458" s="60">
        <f t="shared" si="6"/>
        <v>0</v>
      </c>
    </row>
    <row r="459" spans="2:6" x14ac:dyDescent="0.3">
      <c r="B459" s="6"/>
      <c r="C459" s="41" t="e">
        <f>VLOOKUP(B459,'Planilha de Apoio'!G:H,2,0)</f>
        <v>#N/A</v>
      </c>
      <c r="D459" s="6"/>
      <c r="E459" s="59"/>
      <c r="F459" s="60">
        <f t="shared" si="6"/>
        <v>0</v>
      </c>
    </row>
    <row r="460" spans="2:6" x14ac:dyDescent="0.3">
      <c r="B460" s="6"/>
      <c r="C460" s="41" t="e">
        <f>VLOOKUP(B460,'Planilha de Apoio'!G:H,2,0)</f>
        <v>#N/A</v>
      </c>
      <c r="D460" s="6"/>
      <c r="E460" s="59"/>
      <c r="F460" s="60">
        <f t="shared" si="6"/>
        <v>0</v>
      </c>
    </row>
    <row r="461" spans="2:6" x14ac:dyDescent="0.3">
      <c r="B461" s="6"/>
      <c r="C461" s="41" t="e">
        <f>VLOOKUP(B461,'Planilha de Apoio'!G:H,2,0)</f>
        <v>#N/A</v>
      </c>
      <c r="D461" s="6"/>
      <c r="E461" s="59"/>
      <c r="F461" s="60">
        <f t="shared" si="6"/>
        <v>0</v>
      </c>
    </row>
    <row r="462" spans="2:6" x14ac:dyDescent="0.3">
      <c r="B462" s="6"/>
      <c r="C462" s="41" t="e">
        <f>VLOOKUP(B462,'Planilha de Apoio'!G:H,2,0)</f>
        <v>#N/A</v>
      </c>
      <c r="D462" s="6"/>
      <c r="E462" s="59"/>
      <c r="F462" s="60">
        <f t="shared" si="6"/>
        <v>0</v>
      </c>
    </row>
    <row r="463" spans="2:6" x14ac:dyDescent="0.3">
      <c r="B463" s="6"/>
      <c r="C463" s="41" t="e">
        <f>VLOOKUP(B463,'Planilha de Apoio'!G:H,2,0)</f>
        <v>#N/A</v>
      </c>
      <c r="D463" s="6"/>
      <c r="E463" s="59"/>
      <c r="F463" s="60">
        <f t="shared" ref="F463:F505" si="7">D463*E463</f>
        <v>0</v>
      </c>
    </row>
    <row r="464" spans="2:6" x14ac:dyDescent="0.3">
      <c r="B464" s="6"/>
      <c r="C464" s="41" t="e">
        <f>VLOOKUP(B464,'Planilha de Apoio'!G:H,2,0)</f>
        <v>#N/A</v>
      </c>
      <c r="D464" s="6"/>
      <c r="E464" s="59"/>
      <c r="F464" s="60">
        <f t="shared" si="7"/>
        <v>0</v>
      </c>
    </row>
    <row r="465" spans="2:6" x14ac:dyDescent="0.3">
      <c r="B465" s="6"/>
      <c r="C465" s="41" t="e">
        <f>VLOOKUP(B465,'Planilha de Apoio'!G:H,2,0)</f>
        <v>#N/A</v>
      </c>
      <c r="D465" s="6"/>
      <c r="E465" s="59"/>
      <c r="F465" s="60">
        <f t="shared" si="7"/>
        <v>0</v>
      </c>
    </row>
    <row r="466" spans="2:6" x14ac:dyDescent="0.3">
      <c r="B466" s="6"/>
      <c r="C466" s="41" t="e">
        <f>VLOOKUP(B466,'Planilha de Apoio'!G:H,2,0)</f>
        <v>#N/A</v>
      </c>
      <c r="D466" s="6"/>
      <c r="E466" s="59"/>
      <c r="F466" s="60">
        <f t="shared" si="7"/>
        <v>0</v>
      </c>
    </row>
    <row r="467" spans="2:6" x14ac:dyDescent="0.3">
      <c r="B467" s="6"/>
      <c r="C467" s="41" t="e">
        <f>VLOOKUP(B467,'Planilha de Apoio'!G:H,2,0)</f>
        <v>#N/A</v>
      </c>
      <c r="D467" s="6"/>
      <c r="E467" s="59"/>
      <c r="F467" s="60">
        <f t="shared" si="7"/>
        <v>0</v>
      </c>
    </row>
    <row r="468" spans="2:6" x14ac:dyDescent="0.3">
      <c r="B468" s="6"/>
      <c r="C468" s="41" t="e">
        <f>VLOOKUP(B468,'Planilha de Apoio'!G:H,2,0)</f>
        <v>#N/A</v>
      </c>
      <c r="D468" s="6"/>
      <c r="E468" s="59"/>
      <c r="F468" s="60">
        <f t="shared" si="7"/>
        <v>0</v>
      </c>
    </row>
    <row r="469" spans="2:6" x14ac:dyDescent="0.3">
      <c r="B469" s="6"/>
      <c r="C469" s="41" t="e">
        <f>VLOOKUP(B469,'Planilha de Apoio'!G:H,2,0)</f>
        <v>#N/A</v>
      </c>
      <c r="D469" s="6"/>
      <c r="E469" s="59"/>
      <c r="F469" s="60">
        <f t="shared" si="7"/>
        <v>0</v>
      </c>
    </row>
    <row r="470" spans="2:6" x14ac:dyDescent="0.3">
      <c r="B470" s="6"/>
      <c r="C470" s="41" t="e">
        <f>VLOOKUP(B470,'Planilha de Apoio'!G:H,2,0)</f>
        <v>#N/A</v>
      </c>
      <c r="D470" s="6"/>
      <c r="E470" s="59"/>
      <c r="F470" s="60">
        <f t="shared" si="7"/>
        <v>0</v>
      </c>
    </row>
    <row r="471" spans="2:6" x14ac:dyDescent="0.3">
      <c r="B471" s="6"/>
      <c r="C471" s="41" t="e">
        <f>VLOOKUP(B471,'Planilha de Apoio'!G:H,2,0)</f>
        <v>#N/A</v>
      </c>
      <c r="D471" s="6"/>
      <c r="E471" s="59"/>
      <c r="F471" s="60">
        <f t="shared" si="7"/>
        <v>0</v>
      </c>
    </row>
    <row r="472" spans="2:6" x14ac:dyDescent="0.3">
      <c r="B472" s="6"/>
      <c r="C472" s="41" t="e">
        <f>VLOOKUP(B472,'Planilha de Apoio'!G:H,2,0)</f>
        <v>#N/A</v>
      </c>
      <c r="D472" s="6"/>
      <c r="E472" s="59"/>
      <c r="F472" s="60">
        <f t="shared" si="7"/>
        <v>0</v>
      </c>
    </row>
    <row r="473" spans="2:6" x14ac:dyDescent="0.3">
      <c r="B473" s="6"/>
      <c r="C473" s="41" t="e">
        <f>VLOOKUP(B473,'Planilha de Apoio'!G:H,2,0)</f>
        <v>#N/A</v>
      </c>
      <c r="D473" s="6"/>
      <c r="E473" s="59"/>
      <c r="F473" s="60">
        <f t="shared" si="7"/>
        <v>0</v>
      </c>
    </row>
    <row r="474" spans="2:6" x14ac:dyDescent="0.3">
      <c r="B474" s="6"/>
      <c r="C474" s="41" t="e">
        <f>VLOOKUP(B474,'Planilha de Apoio'!G:H,2,0)</f>
        <v>#N/A</v>
      </c>
      <c r="D474" s="6"/>
      <c r="E474" s="59"/>
      <c r="F474" s="60">
        <f t="shared" si="7"/>
        <v>0</v>
      </c>
    </row>
    <row r="475" spans="2:6" x14ac:dyDescent="0.3">
      <c r="B475" s="6"/>
      <c r="C475" s="41" t="e">
        <f>VLOOKUP(B475,'Planilha de Apoio'!G:H,2,0)</f>
        <v>#N/A</v>
      </c>
      <c r="D475" s="6"/>
      <c r="E475" s="59"/>
      <c r="F475" s="60">
        <f t="shared" si="7"/>
        <v>0</v>
      </c>
    </row>
    <row r="476" spans="2:6" x14ac:dyDescent="0.3">
      <c r="B476" s="6"/>
      <c r="C476" s="41" t="e">
        <f>VLOOKUP(B476,'Planilha de Apoio'!G:H,2,0)</f>
        <v>#N/A</v>
      </c>
      <c r="D476" s="6"/>
      <c r="E476" s="59"/>
      <c r="F476" s="60">
        <f t="shared" si="7"/>
        <v>0</v>
      </c>
    </row>
    <row r="477" spans="2:6" x14ac:dyDescent="0.3">
      <c r="B477" s="6"/>
      <c r="C477" s="41" t="e">
        <f>VLOOKUP(B477,'Planilha de Apoio'!G:H,2,0)</f>
        <v>#N/A</v>
      </c>
      <c r="D477" s="6"/>
      <c r="E477" s="59"/>
      <c r="F477" s="60">
        <f t="shared" si="7"/>
        <v>0</v>
      </c>
    </row>
    <row r="478" spans="2:6" x14ac:dyDescent="0.3">
      <c r="B478" s="6"/>
      <c r="C478" s="41" t="e">
        <f>VLOOKUP(B478,'Planilha de Apoio'!G:H,2,0)</f>
        <v>#N/A</v>
      </c>
      <c r="D478" s="6"/>
      <c r="E478" s="59"/>
      <c r="F478" s="60">
        <f t="shared" si="7"/>
        <v>0</v>
      </c>
    </row>
    <row r="479" spans="2:6" x14ac:dyDescent="0.3">
      <c r="B479" s="6"/>
      <c r="C479" s="41" t="e">
        <f>VLOOKUP(B479,'Planilha de Apoio'!G:H,2,0)</f>
        <v>#N/A</v>
      </c>
      <c r="D479" s="6"/>
      <c r="E479" s="59"/>
      <c r="F479" s="60">
        <f t="shared" si="7"/>
        <v>0</v>
      </c>
    </row>
    <row r="480" spans="2:6" x14ac:dyDescent="0.3">
      <c r="B480" s="6"/>
      <c r="C480" s="41" t="e">
        <f>VLOOKUP(B480,'Planilha de Apoio'!G:H,2,0)</f>
        <v>#N/A</v>
      </c>
      <c r="D480" s="6"/>
      <c r="E480" s="59"/>
      <c r="F480" s="60">
        <f t="shared" si="7"/>
        <v>0</v>
      </c>
    </row>
    <row r="481" spans="2:6" x14ac:dyDescent="0.3">
      <c r="B481" s="6"/>
      <c r="C481" s="41" t="e">
        <f>VLOOKUP(B481,'Planilha de Apoio'!G:H,2,0)</f>
        <v>#N/A</v>
      </c>
      <c r="D481" s="6"/>
      <c r="E481" s="59"/>
      <c r="F481" s="60">
        <f t="shared" si="7"/>
        <v>0</v>
      </c>
    </row>
    <row r="482" spans="2:6" x14ac:dyDescent="0.3">
      <c r="B482" s="6"/>
      <c r="C482" s="41" t="e">
        <f>VLOOKUP(B482,'Planilha de Apoio'!G:H,2,0)</f>
        <v>#N/A</v>
      </c>
      <c r="D482" s="6"/>
      <c r="E482" s="59"/>
      <c r="F482" s="60">
        <f t="shared" si="7"/>
        <v>0</v>
      </c>
    </row>
    <row r="483" spans="2:6" x14ac:dyDescent="0.3">
      <c r="B483" s="6"/>
      <c r="C483" s="41" t="e">
        <f>VLOOKUP(B483,'Planilha de Apoio'!G:H,2,0)</f>
        <v>#N/A</v>
      </c>
      <c r="D483" s="6"/>
      <c r="E483" s="59"/>
      <c r="F483" s="60">
        <f t="shared" si="7"/>
        <v>0</v>
      </c>
    </row>
    <row r="484" spans="2:6" x14ac:dyDescent="0.3">
      <c r="B484" s="6"/>
      <c r="C484" s="41" t="e">
        <f>VLOOKUP(B484,'Planilha de Apoio'!G:H,2,0)</f>
        <v>#N/A</v>
      </c>
      <c r="D484" s="6"/>
      <c r="E484" s="59"/>
      <c r="F484" s="60">
        <f t="shared" si="7"/>
        <v>0</v>
      </c>
    </row>
    <row r="485" spans="2:6" x14ac:dyDescent="0.3">
      <c r="B485" s="6"/>
      <c r="C485" s="41" t="e">
        <f>VLOOKUP(B485,'Planilha de Apoio'!G:H,2,0)</f>
        <v>#N/A</v>
      </c>
      <c r="D485" s="6"/>
      <c r="E485" s="59"/>
      <c r="F485" s="60">
        <f t="shared" si="7"/>
        <v>0</v>
      </c>
    </row>
    <row r="486" spans="2:6" x14ac:dyDescent="0.3">
      <c r="B486" s="6"/>
      <c r="C486" s="41" t="e">
        <f>VLOOKUP(B486,'Planilha de Apoio'!G:H,2,0)</f>
        <v>#N/A</v>
      </c>
      <c r="D486" s="6"/>
      <c r="E486" s="59"/>
      <c r="F486" s="60">
        <f t="shared" si="7"/>
        <v>0</v>
      </c>
    </row>
    <row r="487" spans="2:6" x14ac:dyDescent="0.3">
      <c r="B487" s="6"/>
      <c r="C487" s="41" t="e">
        <f>VLOOKUP(B487,'Planilha de Apoio'!G:H,2,0)</f>
        <v>#N/A</v>
      </c>
      <c r="D487" s="6"/>
      <c r="E487" s="59"/>
      <c r="F487" s="60">
        <f t="shared" si="7"/>
        <v>0</v>
      </c>
    </row>
    <row r="488" spans="2:6" x14ac:dyDescent="0.3">
      <c r="B488" s="6"/>
      <c r="C488" s="41" t="e">
        <f>VLOOKUP(B488,'Planilha de Apoio'!G:H,2,0)</f>
        <v>#N/A</v>
      </c>
      <c r="D488" s="6"/>
      <c r="E488" s="59"/>
      <c r="F488" s="60">
        <f t="shared" si="7"/>
        <v>0</v>
      </c>
    </row>
    <row r="489" spans="2:6" x14ac:dyDescent="0.3">
      <c r="B489" s="6"/>
      <c r="C489" s="41" t="e">
        <f>VLOOKUP(B489,'Planilha de Apoio'!G:H,2,0)</f>
        <v>#N/A</v>
      </c>
      <c r="D489" s="6"/>
      <c r="E489" s="59"/>
      <c r="F489" s="60">
        <f t="shared" si="7"/>
        <v>0</v>
      </c>
    </row>
    <row r="490" spans="2:6" x14ac:dyDescent="0.3">
      <c r="B490" s="6"/>
      <c r="C490" s="41" t="e">
        <f>VLOOKUP(B490,'Planilha de Apoio'!G:H,2,0)</f>
        <v>#N/A</v>
      </c>
      <c r="D490" s="6"/>
      <c r="E490" s="59"/>
      <c r="F490" s="60">
        <f t="shared" si="7"/>
        <v>0</v>
      </c>
    </row>
    <row r="491" spans="2:6" x14ac:dyDescent="0.3">
      <c r="B491" s="6"/>
      <c r="C491" s="41" t="e">
        <f>VLOOKUP(B491,'Planilha de Apoio'!G:H,2,0)</f>
        <v>#N/A</v>
      </c>
      <c r="D491" s="6"/>
      <c r="E491" s="59"/>
      <c r="F491" s="60">
        <f t="shared" si="7"/>
        <v>0</v>
      </c>
    </row>
    <row r="492" spans="2:6" x14ac:dyDescent="0.3">
      <c r="B492" s="6"/>
      <c r="C492" s="41" t="e">
        <f>VLOOKUP(B492,'Planilha de Apoio'!G:H,2,0)</f>
        <v>#N/A</v>
      </c>
      <c r="D492" s="6"/>
      <c r="E492" s="59"/>
      <c r="F492" s="60">
        <f t="shared" si="7"/>
        <v>0</v>
      </c>
    </row>
    <row r="493" spans="2:6" x14ac:dyDescent="0.3">
      <c r="B493" s="6"/>
      <c r="C493" s="41" t="e">
        <f>VLOOKUP(B493,'Planilha de Apoio'!G:H,2,0)</f>
        <v>#N/A</v>
      </c>
      <c r="D493" s="6"/>
      <c r="E493" s="59"/>
      <c r="F493" s="60">
        <f t="shared" si="7"/>
        <v>0</v>
      </c>
    </row>
    <row r="494" spans="2:6" x14ac:dyDescent="0.3">
      <c r="B494" s="6"/>
      <c r="C494" s="41" t="e">
        <f>VLOOKUP(B494,'Planilha de Apoio'!G:H,2,0)</f>
        <v>#N/A</v>
      </c>
      <c r="D494" s="6"/>
      <c r="E494" s="59"/>
      <c r="F494" s="60">
        <f t="shared" si="7"/>
        <v>0</v>
      </c>
    </row>
    <row r="495" spans="2:6" x14ac:dyDescent="0.3">
      <c r="B495" s="6"/>
      <c r="C495" s="41" t="e">
        <f>VLOOKUP(B495,'Planilha de Apoio'!G:H,2,0)</f>
        <v>#N/A</v>
      </c>
      <c r="D495" s="6"/>
      <c r="E495" s="59"/>
      <c r="F495" s="60">
        <f t="shared" si="7"/>
        <v>0</v>
      </c>
    </row>
    <row r="496" spans="2:6" x14ac:dyDescent="0.3">
      <c r="B496" s="6"/>
      <c r="C496" s="41" t="e">
        <f>VLOOKUP(B496,'Planilha de Apoio'!G:H,2,0)</f>
        <v>#N/A</v>
      </c>
      <c r="D496" s="6"/>
      <c r="E496" s="59"/>
      <c r="F496" s="60">
        <f t="shared" si="7"/>
        <v>0</v>
      </c>
    </row>
    <row r="497" spans="2:6" x14ac:dyDescent="0.3">
      <c r="B497" s="6"/>
      <c r="C497" s="41" t="e">
        <f>VLOOKUP(B497,'Planilha de Apoio'!G:H,2,0)</f>
        <v>#N/A</v>
      </c>
      <c r="D497" s="6"/>
      <c r="E497" s="59"/>
      <c r="F497" s="60">
        <f t="shared" si="7"/>
        <v>0</v>
      </c>
    </row>
    <row r="498" spans="2:6" x14ac:dyDescent="0.3">
      <c r="B498" s="6"/>
      <c r="C498" s="41" t="e">
        <f>VLOOKUP(B498,'Planilha de Apoio'!G:H,2,0)</f>
        <v>#N/A</v>
      </c>
      <c r="D498" s="6"/>
      <c r="E498" s="59"/>
      <c r="F498" s="60">
        <f t="shared" si="7"/>
        <v>0</v>
      </c>
    </row>
    <row r="499" spans="2:6" x14ac:dyDescent="0.3">
      <c r="B499" s="6"/>
      <c r="C499" s="41" t="e">
        <f>VLOOKUP(B499,'Planilha de Apoio'!G:H,2,0)</f>
        <v>#N/A</v>
      </c>
      <c r="D499" s="6"/>
      <c r="E499" s="59"/>
      <c r="F499" s="60">
        <f t="shared" si="7"/>
        <v>0</v>
      </c>
    </row>
    <row r="500" spans="2:6" x14ac:dyDescent="0.3">
      <c r="B500" s="6"/>
      <c r="C500" s="41" t="e">
        <f>VLOOKUP(B500,'Planilha de Apoio'!G:H,2,0)</f>
        <v>#N/A</v>
      </c>
      <c r="D500" s="6"/>
      <c r="E500" s="59"/>
      <c r="F500" s="60">
        <f t="shared" si="7"/>
        <v>0</v>
      </c>
    </row>
    <row r="501" spans="2:6" x14ac:dyDescent="0.3">
      <c r="B501" s="6"/>
      <c r="C501" s="41" t="e">
        <f>VLOOKUP(B501,'Planilha de Apoio'!G:H,2,0)</f>
        <v>#N/A</v>
      </c>
      <c r="D501" s="6"/>
      <c r="E501" s="59"/>
      <c r="F501" s="60">
        <f t="shared" si="7"/>
        <v>0</v>
      </c>
    </row>
    <row r="502" spans="2:6" x14ac:dyDescent="0.3">
      <c r="B502" s="6"/>
      <c r="C502" s="41" t="e">
        <f>VLOOKUP(B502,'Planilha de Apoio'!G:H,2,0)</f>
        <v>#N/A</v>
      </c>
      <c r="D502" s="6"/>
      <c r="E502" s="59"/>
      <c r="F502" s="60">
        <f t="shared" si="7"/>
        <v>0</v>
      </c>
    </row>
    <row r="503" spans="2:6" x14ac:dyDescent="0.3">
      <c r="B503" s="6"/>
      <c r="C503" s="41" t="e">
        <f>VLOOKUP(B503,'Planilha de Apoio'!G:H,2,0)</f>
        <v>#N/A</v>
      </c>
      <c r="D503" s="6"/>
      <c r="E503" s="59"/>
      <c r="F503" s="60">
        <f t="shared" si="7"/>
        <v>0</v>
      </c>
    </row>
    <row r="504" spans="2:6" x14ac:dyDescent="0.3">
      <c r="B504" s="6"/>
      <c r="C504" s="41" t="e">
        <f>VLOOKUP(B504,'Planilha de Apoio'!G:H,2,0)</f>
        <v>#N/A</v>
      </c>
      <c r="D504" s="6"/>
      <c r="E504" s="59"/>
      <c r="F504" s="60">
        <f t="shared" si="7"/>
        <v>0</v>
      </c>
    </row>
    <row r="505" spans="2:6" x14ac:dyDescent="0.3">
      <c r="B505" s="6"/>
      <c r="C505" s="41" t="e">
        <f>VLOOKUP(B505,'Planilha de Apoio'!G:H,2,0)</f>
        <v>#N/A</v>
      </c>
      <c r="D505" s="6"/>
      <c r="E505" s="59"/>
      <c r="F505" s="60">
        <f t="shared" si="7"/>
        <v>0</v>
      </c>
    </row>
  </sheetData>
  <sheetProtection sheet="1" objects="1" scenarios="1"/>
  <mergeCells count="4">
    <mergeCell ref="H31:M31"/>
    <mergeCell ref="H13:M13"/>
    <mergeCell ref="B2:Q2"/>
    <mergeCell ref="B4:D4"/>
  </mergeCells>
  <phoneticPr fontId="11" type="noConversion"/>
  <pageMargins left="0.511811024" right="0.511811024" top="0.78740157499999996" bottom="0.78740157499999996" header="0.31496062000000002" footer="0.31496062000000002"/>
  <ignoredErrors>
    <ignoredError sqref="C15:C505" evalError="1"/>
  </ignoredErrors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BE5A13-97D3-419A-B8AB-CF5E34455DE5}">
          <x14:formula1>
            <xm:f>'Planilha de Apoio'!$G:$G</xm:f>
          </x14:formula1>
          <xm:sqref>B14:B505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58C7-3C08-4AB6-804D-A8F5CD0F89B2}">
  <dimension ref="A2:AD198"/>
  <sheetViews>
    <sheetView showGridLines="0" workbookViewId="0">
      <selection activeCell="H3" sqref="H3"/>
    </sheetView>
  </sheetViews>
  <sheetFormatPr defaultColWidth="0" defaultRowHeight="14.4" x14ac:dyDescent="0.3"/>
  <cols>
    <col min="1" max="1" width="8.88671875" style="1" customWidth="1"/>
    <col min="2" max="2" width="27.44140625" style="1" bestFit="1" customWidth="1"/>
    <col min="3" max="3" width="11.33203125" style="1" bestFit="1" customWidth="1"/>
    <col min="4" max="4" width="20.6640625" style="1" customWidth="1"/>
    <col min="5" max="5" width="11.88671875" style="1" customWidth="1"/>
    <col min="6" max="6" width="8.88671875" style="1" customWidth="1"/>
    <col min="7" max="7" width="18.33203125" style="1" bestFit="1" customWidth="1"/>
    <col min="8" max="8" width="20.6640625" style="1" customWidth="1"/>
    <col min="9" max="9" width="8.88671875" style="1" customWidth="1"/>
    <col min="10" max="30" width="0" style="1" hidden="1"/>
    <col min="31" max="16384" width="8.88671875" style="1" hidden="1"/>
  </cols>
  <sheetData>
    <row r="2" spans="2:8" s="67" customFormat="1" x14ac:dyDescent="0.3">
      <c r="B2" s="41" t="s">
        <v>24</v>
      </c>
      <c r="C2" s="68" t="s">
        <v>14</v>
      </c>
      <c r="D2" s="68" t="s">
        <v>31</v>
      </c>
      <c r="E2" s="68" t="s">
        <v>23</v>
      </c>
      <c r="G2" s="6" t="s">
        <v>32</v>
      </c>
      <c r="H2" s="6" t="s">
        <v>31</v>
      </c>
    </row>
    <row r="3" spans="2:8" x14ac:dyDescent="0.3">
      <c r="B3" s="43" t="str">
        <f>CONCATENATE(C3," - ",D3)</f>
        <v>Conservador - Renda Fixa</v>
      </c>
      <c r="C3" s="43" t="s">
        <v>16</v>
      </c>
      <c r="D3" s="43" t="s">
        <v>210</v>
      </c>
      <c r="E3" s="44">
        <v>0.5</v>
      </c>
      <c r="G3" s="5" t="s">
        <v>33</v>
      </c>
      <c r="H3" s="5" t="s">
        <v>26</v>
      </c>
    </row>
    <row r="4" spans="2:8" x14ac:dyDescent="0.3">
      <c r="B4" s="43" t="str">
        <f t="shared" ref="B4:B20" si="0">CONCATENATE(C4," - ",D4)</f>
        <v>Conservador - Ações</v>
      </c>
      <c r="C4" s="43" t="s">
        <v>16</v>
      </c>
      <c r="D4" s="43" t="s">
        <v>26</v>
      </c>
      <c r="E4" s="44">
        <v>0.2</v>
      </c>
      <c r="G4" s="5" t="s">
        <v>34</v>
      </c>
      <c r="H4" s="5" t="s">
        <v>26</v>
      </c>
    </row>
    <row r="5" spans="2:8" x14ac:dyDescent="0.3">
      <c r="B5" s="43" t="str">
        <f t="shared" si="0"/>
        <v>Conservador - FII's</v>
      </c>
      <c r="C5" s="43" t="s">
        <v>16</v>
      </c>
      <c r="D5" s="43" t="s">
        <v>27</v>
      </c>
      <c r="E5" s="44">
        <v>0.1</v>
      </c>
      <c r="G5" s="5" t="s">
        <v>35</v>
      </c>
      <c r="H5" s="5" t="s">
        <v>26</v>
      </c>
    </row>
    <row r="6" spans="2:8" x14ac:dyDescent="0.3">
      <c r="B6" s="43" t="str">
        <f t="shared" si="0"/>
        <v>Conservador - Criptomoedas</v>
      </c>
      <c r="C6" s="43" t="s">
        <v>16</v>
      </c>
      <c r="D6" s="43" t="s">
        <v>28</v>
      </c>
      <c r="E6" s="44">
        <v>0.05</v>
      </c>
      <c r="G6" s="5" t="s">
        <v>36</v>
      </c>
      <c r="H6" s="5" t="s">
        <v>26</v>
      </c>
    </row>
    <row r="7" spans="2:8" x14ac:dyDescent="0.3">
      <c r="B7" s="43" t="str">
        <f t="shared" si="0"/>
        <v>Conservador - Ações Estrangeiras</v>
      </c>
      <c r="C7" s="43" t="s">
        <v>16</v>
      </c>
      <c r="D7" s="43" t="s">
        <v>197</v>
      </c>
      <c r="E7" s="44">
        <v>0.1</v>
      </c>
      <c r="G7" s="5" t="s">
        <v>37</v>
      </c>
      <c r="H7" s="5" t="s">
        <v>26</v>
      </c>
    </row>
    <row r="8" spans="2:8" x14ac:dyDescent="0.3">
      <c r="B8" s="43" t="str">
        <f t="shared" si="0"/>
        <v>Conservador - ETF's</v>
      </c>
      <c r="C8" s="43" t="s">
        <v>16</v>
      </c>
      <c r="D8" s="43" t="s">
        <v>29</v>
      </c>
      <c r="E8" s="44">
        <v>0.05</v>
      </c>
      <c r="G8" s="5" t="s">
        <v>38</v>
      </c>
      <c r="H8" s="5" t="s">
        <v>26</v>
      </c>
    </row>
    <row r="9" spans="2:8" x14ac:dyDescent="0.3">
      <c r="B9" s="43" t="str">
        <f t="shared" si="0"/>
        <v>Moderado - Renda Fixa</v>
      </c>
      <c r="C9" s="43" t="s">
        <v>17</v>
      </c>
      <c r="D9" s="43" t="s">
        <v>210</v>
      </c>
      <c r="E9" s="44">
        <v>0.35</v>
      </c>
      <c r="G9" s="5" t="s">
        <v>39</v>
      </c>
      <c r="H9" s="5" t="s">
        <v>26</v>
      </c>
    </row>
    <row r="10" spans="2:8" x14ac:dyDescent="0.3">
      <c r="B10" s="43" t="str">
        <f t="shared" si="0"/>
        <v>Moderado - Ações</v>
      </c>
      <c r="C10" s="43" t="s">
        <v>17</v>
      </c>
      <c r="D10" s="43" t="s">
        <v>26</v>
      </c>
      <c r="E10" s="44">
        <v>0.3</v>
      </c>
      <c r="G10" s="5" t="s">
        <v>40</v>
      </c>
      <c r="H10" s="5" t="s">
        <v>26</v>
      </c>
    </row>
    <row r="11" spans="2:8" x14ac:dyDescent="0.3">
      <c r="B11" s="43" t="str">
        <f t="shared" si="0"/>
        <v>Moderado - FII's</v>
      </c>
      <c r="C11" s="43" t="s">
        <v>17</v>
      </c>
      <c r="D11" s="43" t="s">
        <v>27</v>
      </c>
      <c r="E11" s="44">
        <v>0.15</v>
      </c>
      <c r="G11" s="5" t="s">
        <v>41</v>
      </c>
      <c r="H11" s="5" t="s">
        <v>26</v>
      </c>
    </row>
    <row r="12" spans="2:8" x14ac:dyDescent="0.3">
      <c r="B12" s="43" t="str">
        <f t="shared" si="0"/>
        <v>Moderado - Criptomoedas</v>
      </c>
      <c r="C12" s="43" t="s">
        <v>17</v>
      </c>
      <c r="D12" s="43" t="s">
        <v>28</v>
      </c>
      <c r="E12" s="44">
        <v>0.05</v>
      </c>
      <c r="G12" s="5" t="s">
        <v>42</v>
      </c>
      <c r="H12" s="5" t="s">
        <v>26</v>
      </c>
    </row>
    <row r="13" spans="2:8" x14ac:dyDescent="0.3">
      <c r="B13" s="43" t="str">
        <f t="shared" si="0"/>
        <v>Moderado - Ações Estrangeiras</v>
      </c>
      <c r="C13" s="43" t="s">
        <v>17</v>
      </c>
      <c r="D13" s="43" t="s">
        <v>197</v>
      </c>
      <c r="E13" s="44">
        <v>0.1</v>
      </c>
      <c r="G13" s="5" t="s">
        <v>43</v>
      </c>
      <c r="H13" s="5" t="s">
        <v>26</v>
      </c>
    </row>
    <row r="14" spans="2:8" x14ac:dyDescent="0.3">
      <c r="B14" s="43" t="str">
        <f t="shared" si="0"/>
        <v>Moderado - ETF's</v>
      </c>
      <c r="C14" s="43" t="s">
        <v>17</v>
      </c>
      <c r="D14" s="43" t="s">
        <v>29</v>
      </c>
      <c r="E14" s="44">
        <v>0.05</v>
      </c>
      <c r="G14" s="5" t="s">
        <v>44</v>
      </c>
      <c r="H14" s="5" t="s">
        <v>26</v>
      </c>
    </row>
    <row r="15" spans="2:8" x14ac:dyDescent="0.3">
      <c r="B15" s="43" t="str">
        <f t="shared" si="0"/>
        <v>Agressivo - Renda Fixa</v>
      </c>
      <c r="C15" s="43" t="s">
        <v>15</v>
      </c>
      <c r="D15" s="43" t="s">
        <v>210</v>
      </c>
      <c r="E15" s="44">
        <v>0.15</v>
      </c>
      <c r="G15" s="5" t="s">
        <v>45</v>
      </c>
      <c r="H15" s="5" t="s">
        <v>26</v>
      </c>
    </row>
    <row r="16" spans="2:8" x14ac:dyDescent="0.3">
      <c r="B16" s="43" t="str">
        <f t="shared" si="0"/>
        <v>Agressivo - Ações</v>
      </c>
      <c r="C16" s="43" t="s">
        <v>15</v>
      </c>
      <c r="D16" s="43" t="s">
        <v>26</v>
      </c>
      <c r="E16" s="44">
        <v>0.2</v>
      </c>
      <c r="G16" s="5" t="s">
        <v>46</v>
      </c>
      <c r="H16" s="5" t="s">
        <v>26</v>
      </c>
    </row>
    <row r="17" spans="2:8" x14ac:dyDescent="0.3">
      <c r="B17" s="43" t="str">
        <f t="shared" si="0"/>
        <v>Agressivo - FII's</v>
      </c>
      <c r="C17" s="43" t="s">
        <v>15</v>
      </c>
      <c r="D17" s="43" t="s">
        <v>27</v>
      </c>
      <c r="E17" s="44">
        <v>0.2</v>
      </c>
      <c r="G17" s="5" t="s">
        <v>47</v>
      </c>
      <c r="H17" s="5" t="s">
        <v>26</v>
      </c>
    </row>
    <row r="18" spans="2:8" x14ac:dyDescent="0.3">
      <c r="B18" s="43" t="str">
        <f t="shared" si="0"/>
        <v>Agressivo - Criptomoedas</v>
      </c>
      <c r="C18" s="43" t="s">
        <v>15</v>
      </c>
      <c r="D18" s="43" t="s">
        <v>28</v>
      </c>
      <c r="E18" s="44">
        <v>0.15</v>
      </c>
      <c r="G18" s="5" t="s">
        <v>48</v>
      </c>
      <c r="H18" s="5" t="s">
        <v>26</v>
      </c>
    </row>
    <row r="19" spans="2:8" x14ac:dyDescent="0.3">
      <c r="B19" s="43" t="str">
        <f t="shared" si="0"/>
        <v>Agressivo - Ações Estrangeiras</v>
      </c>
      <c r="C19" s="43" t="s">
        <v>15</v>
      </c>
      <c r="D19" s="43" t="s">
        <v>197</v>
      </c>
      <c r="E19" s="44">
        <v>0.15</v>
      </c>
      <c r="G19" s="5" t="s">
        <v>49</v>
      </c>
      <c r="H19" s="5" t="s">
        <v>26</v>
      </c>
    </row>
    <row r="20" spans="2:8" x14ac:dyDescent="0.3">
      <c r="B20" s="43" t="str">
        <f t="shared" si="0"/>
        <v>Agressivo - ETF's</v>
      </c>
      <c r="C20" s="43" t="s">
        <v>15</v>
      </c>
      <c r="D20" s="43" t="s">
        <v>29</v>
      </c>
      <c r="E20" s="44">
        <v>0.15</v>
      </c>
      <c r="G20" s="5" t="s">
        <v>50</v>
      </c>
      <c r="H20" s="5" t="s">
        <v>26</v>
      </c>
    </row>
    <row r="21" spans="2:8" x14ac:dyDescent="0.3">
      <c r="G21" s="5" t="s">
        <v>51</v>
      </c>
      <c r="H21" s="5" t="s">
        <v>26</v>
      </c>
    </row>
    <row r="22" spans="2:8" x14ac:dyDescent="0.3">
      <c r="G22" s="5" t="s">
        <v>52</v>
      </c>
      <c r="H22" s="5" t="s">
        <v>26</v>
      </c>
    </row>
    <row r="23" spans="2:8" x14ac:dyDescent="0.3">
      <c r="G23" s="5" t="s">
        <v>53</v>
      </c>
      <c r="H23" s="5" t="s">
        <v>26</v>
      </c>
    </row>
    <row r="24" spans="2:8" x14ac:dyDescent="0.3">
      <c r="G24" s="5" t="s">
        <v>54</v>
      </c>
      <c r="H24" s="5" t="s">
        <v>26</v>
      </c>
    </row>
    <row r="25" spans="2:8" x14ac:dyDescent="0.3">
      <c r="G25" s="5" t="s">
        <v>55</v>
      </c>
      <c r="H25" s="5" t="s">
        <v>26</v>
      </c>
    </row>
    <row r="26" spans="2:8" x14ac:dyDescent="0.3">
      <c r="G26" s="5" t="s">
        <v>56</v>
      </c>
      <c r="H26" s="5" t="s">
        <v>26</v>
      </c>
    </row>
    <row r="27" spans="2:8" x14ac:dyDescent="0.3">
      <c r="G27" s="5" t="s">
        <v>57</v>
      </c>
      <c r="H27" s="5" t="s">
        <v>26</v>
      </c>
    </row>
    <row r="28" spans="2:8" x14ac:dyDescent="0.3">
      <c r="G28" s="5" t="s">
        <v>58</v>
      </c>
      <c r="H28" s="5" t="s">
        <v>26</v>
      </c>
    </row>
    <row r="29" spans="2:8" x14ac:dyDescent="0.3">
      <c r="G29" s="5" t="s">
        <v>59</v>
      </c>
      <c r="H29" s="5" t="s">
        <v>26</v>
      </c>
    </row>
    <row r="30" spans="2:8" x14ac:dyDescent="0.3">
      <c r="G30" s="5" t="s">
        <v>60</v>
      </c>
      <c r="H30" s="5" t="s">
        <v>26</v>
      </c>
    </row>
    <row r="31" spans="2:8" x14ac:dyDescent="0.3">
      <c r="G31" s="5" t="s">
        <v>61</v>
      </c>
      <c r="H31" s="5" t="s">
        <v>26</v>
      </c>
    </row>
    <row r="32" spans="2:8" x14ac:dyDescent="0.3">
      <c r="G32" s="5" t="s">
        <v>62</v>
      </c>
      <c r="H32" s="5" t="s">
        <v>26</v>
      </c>
    </row>
    <row r="33" spans="7:8" x14ac:dyDescent="0.3">
      <c r="G33" s="5" t="s">
        <v>63</v>
      </c>
      <c r="H33" s="5" t="s">
        <v>26</v>
      </c>
    </row>
    <row r="34" spans="7:8" x14ac:dyDescent="0.3">
      <c r="G34" s="5" t="s">
        <v>64</v>
      </c>
      <c r="H34" s="5" t="s">
        <v>26</v>
      </c>
    </row>
    <row r="35" spans="7:8" x14ac:dyDescent="0.3">
      <c r="G35" s="5" t="s">
        <v>65</v>
      </c>
      <c r="H35" s="5" t="s">
        <v>26</v>
      </c>
    </row>
    <row r="36" spans="7:8" x14ac:dyDescent="0.3">
      <c r="G36" s="5" t="s">
        <v>66</v>
      </c>
      <c r="H36" s="5" t="s">
        <v>26</v>
      </c>
    </row>
    <row r="37" spans="7:8" x14ac:dyDescent="0.3">
      <c r="G37" s="5" t="s">
        <v>67</v>
      </c>
      <c r="H37" s="5" t="s">
        <v>26</v>
      </c>
    </row>
    <row r="38" spans="7:8" x14ac:dyDescent="0.3">
      <c r="G38" s="5" t="s">
        <v>68</v>
      </c>
      <c r="H38" s="5" t="s">
        <v>26</v>
      </c>
    </row>
    <row r="39" spans="7:8" x14ac:dyDescent="0.3">
      <c r="G39" s="5" t="s">
        <v>69</v>
      </c>
      <c r="H39" s="5" t="s">
        <v>26</v>
      </c>
    </row>
    <row r="40" spans="7:8" x14ac:dyDescent="0.3">
      <c r="G40" s="5" t="s">
        <v>70</v>
      </c>
      <c r="H40" s="5" t="s">
        <v>26</v>
      </c>
    </row>
    <row r="41" spans="7:8" x14ac:dyDescent="0.3">
      <c r="G41" s="5" t="s">
        <v>71</v>
      </c>
      <c r="H41" s="5" t="s">
        <v>26</v>
      </c>
    </row>
    <row r="42" spans="7:8" x14ac:dyDescent="0.3">
      <c r="G42" s="5" t="s">
        <v>72</v>
      </c>
      <c r="H42" s="5" t="s">
        <v>26</v>
      </c>
    </row>
    <row r="43" spans="7:8" x14ac:dyDescent="0.3">
      <c r="G43" s="5" t="s">
        <v>73</v>
      </c>
      <c r="H43" s="5" t="s">
        <v>26</v>
      </c>
    </row>
    <row r="44" spans="7:8" x14ac:dyDescent="0.3">
      <c r="G44" s="5" t="s">
        <v>74</v>
      </c>
      <c r="H44" s="5" t="s">
        <v>26</v>
      </c>
    </row>
    <row r="45" spans="7:8" x14ac:dyDescent="0.3">
      <c r="G45" s="5" t="s">
        <v>75</v>
      </c>
      <c r="H45" s="5" t="s">
        <v>26</v>
      </c>
    </row>
    <row r="46" spans="7:8" x14ac:dyDescent="0.3">
      <c r="G46" s="5" t="s">
        <v>76</v>
      </c>
      <c r="H46" s="5" t="s">
        <v>26</v>
      </c>
    </row>
    <row r="47" spans="7:8" x14ac:dyDescent="0.3">
      <c r="G47" s="5" t="s">
        <v>77</v>
      </c>
      <c r="H47" s="5" t="s">
        <v>26</v>
      </c>
    </row>
    <row r="48" spans="7:8" x14ac:dyDescent="0.3">
      <c r="G48" s="5" t="s">
        <v>78</v>
      </c>
      <c r="H48" s="5" t="s">
        <v>26</v>
      </c>
    </row>
    <row r="49" spans="7:8" x14ac:dyDescent="0.3">
      <c r="G49" s="5" t="s">
        <v>79</v>
      </c>
      <c r="H49" s="5" t="s">
        <v>26</v>
      </c>
    </row>
    <row r="50" spans="7:8" x14ac:dyDescent="0.3">
      <c r="G50" s="5" t="s">
        <v>80</v>
      </c>
      <c r="H50" s="5" t="s">
        <v>26</v>
      </c>
    </row>
    <row r="51" spans="7:8" x14ac:dyDescent="0.3">
      <c r="G51" s="5" t="s">
        <v>81</v>
      </c>
      <c r="H51" s="5" t="s">
        <v>26</v>
      </c>
    </row>
    <row r="52" spans="7:8" x14ac:dyDescent="0.3">
      <c r="G52" s="5" t="s">
        <v>82</v>
      </c>
      <c r="H52" s="5" t="s">
        <v>26</v>
      </c>
    </row>
    <row r="53" spans="7:8" x14ac:dyDescent="0.3">
      <c r="G53" s="5" t="s">
        <v>83</v>
      </c>
      <c r="H53" s="5" t="s">
        <v>26</v>
      </c>
    </row>
    <row r="54" spans="7:8" x14ac:dyDescent="0.3">
      <c r="G54" s="5" t="s">
        <v>84</v>
      </c>
      <c r="H54" s="5" t="s">
        <v>26</v>
      </c>
    </row>
    <row r="55" spans="7:8" x14ac:dyDescent="0.3">
      <c r="G55" s="5" t="s">
        <v>85</v>
      </c>
      <c r="H55" s="5" t="s">
        <v>26</v>
      </c>
    </row>
    <row r="56" spans="7:8" x14ac:dyDescent="0.3">
      <c r="G56" s="5" t="s">
        <v>86</v>
      </c>
      <c r="H56" s="5" t="s">
        <v>26</v>
      </c>
    </row>
    <row r="57" spans="7:8" x14ac:dyDescent="0.3">
      <c r="G57" s="5" t="s">
        <v>87</v>
      </c>
      <c r="H57" s="5" t="s">
        <v>26</v>
      </c>
    </row>
    <row r="58" spans="7:8" x14ac:dyDescent="0.3">
      <c r="G58" s="5" t="s">
        <v>88</v>
      </c>
      <c r="H58" s="5" t="s">
        <v>26</v>
      </c>
    </row>
    <row r="59" spans="7:8" x14ac:dyDescent="0.3">
      <c r="G59" s="5" t="s">
        <v>89</v>
      </c>
      <c r="H59" s="5" t="s">
        <v>26</v>
      </c>
    </row>
    <row r="60" spans="7:8" x14ac:dyDescent="0.3">
      <c r="G60" s="5" t="s">
        <v>90</v>
      </c>
      <c r="H60" s="5" t="s">
        <v>26</v>
      </c>
    </row>
    <row r="61" spans="7:8" x14ac:dyDescent="0.3">
      <c r="G61" s="5" t="s">
        <v>91</v>
      </c>
      <c r="H61" s="5" t="s">
        <v>26</v>
      </c>
    </row>
    <row r="62" spans="7:8" x14ac:dyDescent="0.3">
      <c r="G62" s="5" t="s">
        <v>92</v>
      </c>
      <c r="H62" s="5" t="s">
        <v>26</v>
      </c>
    </row>
    <row r="63" spans="7:8" x14ac:dyDescent="0.3">
      <c r="G63" s="5" t="s">
        <v>93</v>
      </c>
      <c r="H63" s="5" t="s">
        <v>26</v>
      </c>
    </row>
    <row r="64" spans="7:8" x14ac:dyDescent="0.3">
      <c r="G64" s="5" t="s">
        <v>94</v>
      </c>
      <c r="H64" s="5" t="s">
        <v>26</v>
      </c>
    </row>
    <row r="65" spans="7:8" x14ac:dyDescent="0.3">
      <c r="G65" s="5" t="s">
        <v>95</v>
      </c>
      <c r="H65" s="5" t="s">
        <v>26</v>
      </c>
    </row>
    <row r="66" spans="7:8" x14ac:dyDescent="0.3">
      <c r="G66" s="5" t="s">
        <v>96</v>
      </c>
      <c r="H66" s="5" t="s">
        <v>26</v>
      </c>
    </row>
    <row r="67" spans="7:8" x14ac:dyDescent="0.3">
      <c r="G67" s="5" t="s">
        <v>97</v>
      </c>
      <c r="H67" s="5" t="s">
        <v>26</v>
      </c>
    </row>
    <row r="68" spans="7:8" x14ac:dyDescent="0.3">
      <c r="G68" s="5" t="s">
        <v>98</v>
      </c>
      <c r="H68" s="5" t="s">
        <v>26</v>
      </c>
    </row>
    <row r="69" spans="7:8" x14ac:dyDescent="0.3">
      <c r="G69" s="5" t="s">
        <v>99</v>
      </c>
      <c r="H69" s="5" t="s">
        <v>26</v>
      </c>
    </row>
    <row r="70" spans="7:8" x14ac:dyDescent="0.3">
      <c r="G70" s="5" t="s">
        <v>100</v>
      </c>
      <c r="H70" s="5" t="s">
        <v>26</v>
      </c>
    </row>
    <row r="71" spans="7:8" x14ac:dyDescent="0.3">
      <c r="G71" s="5" t="s">
        <v>101</v>
      </c>
      <c r="H71" s="5" t="s">
        <v>26</v>
      </c>
    </row>
    <row r="72" spans="7:8" x14ac:dyDescent="0.3">
      <c r="G72" s="5" t="s">
        <v>102</v>
      </c>
      <c r="H72" s="5" t="s">
        <v>26</v>
      </c>
    </row>
    <row r="73" spans="7:8" x14ac:dyDescent="0.3">
      <c r="G73" s="5" t="s">
        <v>103</v>
      </c>
      <c r="H73" s="5" t="s">
        <v>26</v>
      </c>
    </row>
    <row r="74" spans="7:8" x14ac:dyDescent="0.3">
      <c r="G74" s="5" t="s">
        <v>104</v>
      </c>
      <c r="H74" s="5" t="s">
        <v>26</v>
      </c>
    </row>
    <row r="75" spans="7:8" x14ac:dyDescent="0.3">
      <c r="G75" s="5" t="s">
        <v>235</v>
      </c>
      <c r="H75" s="5" t="s">
        <v>26</v>
      </c>
    </row>
    <row r="76" spans="7:8" x14ac:dyDescent="0.3">
      <c r="G76" s="5" t="s">
        <v>105</v>
      </c>
      <c r="H76" s="5" t="s">
        <v>26</v>
      </c>
    </row>
    <row r="77" spans="7:8" x14ac:dyDescent="0.3">
      <c r="G77" s="5" t="s">
        <v>106</v>
      </c>
      <c r="H77" s="5" t="s">
        <v>26</v>
      </c>
    </row>
    <row r="78" spans="7:8" x14ac:dyDescent="0.3">
      <c r="G78" s="5" t="s">
        <v>107</v>
      </c>
      <c r="H78" s="5" t="s">
        <v>26</v>
      </c>
    </row>
    <row r="79" spans="7:8" x14ac:dyDescent="0.3">
      <c r="G79" s="5" t="s">
        <v>108</v>
      </c>
      <c r="H79" s="5" t="s">
        <v>26</v>
      </c>
    </row>
    <row r="80" spans="7:8" x14ac:dyDescent="0.3">
      <c r="G80" s="5" t="s">
        <v>109</v>
      </c>
      <c r="H80" s="5" t="s">
        <v>26</v>
      </c>
    </row>
    <row r="81" spans="7:8" x14ac:dyDescent="0.3">
      <c r="G81" s="5" t="s">
        <v>236</v>
      </c>
      <c r="H81" s="5" t="s">
        <v>26</v>
      </c>
    </row>
    <row r="82" spans="7:8" x14ac:dyDescent="0.3">
      <c r="G82" s="5" t="s">
        <v>110</v>
      </c>
      <c r="H82" s="5" t="s">
        <v>26</v>
      </c>
    </row>
    <row r="83" spans="7:8" x14ac:dyDescent="0.3">
      <c r="G83" s="5" t="s">
        <v>111</v>
      </c>
      <c r="H83" s="5" t="s">
        <v>26</v>
      </c>
    </row>
    <row r="84" spans="7:8" x14ac:dyDescent="0.3">
      <c r="G84" s="5" t="s">
        <v>112</v>
      </c>
      <c r="H84" s="5" t="s">
        <v>26</v>
      </c>
    </row>
    <row r="85" spans="7:8" x14ac:dyDescent="0.3">
      <c r="G85" s="5" t="s">
        <v>113</v>
      </c>
      <c r="H85" s="5" t="s">
        <v>26</v>
      </c>
    </row>
    <row r="86" spans="7:8" x14ac:dyDescent="0.3">
      <c r="G86" s="5" t="s">
        <v>114</v>
      </c>
      <c r="H86" s="5" t="s">
        <v>26</v>
      </c>
    </row>
    <row r="87" spans="7:8" x14ac:dyDescent="0.3">
      <c r="G87" s="5" t="s">
        <v>115</v>
      </c>
      <c r="H87" s="5" t="s">
        <v>26</v>
      </c>
    </row>
    <row r="88" spans="7:8" x14ac:dyDescent="0.3">
      <c r="G88" s="5" t="s">
        <v>116</v>
      </c>
      <c r="H88" s="5" t="s">
        <v>26</v>
      </c>
    </row>
    <row r="89" spans="7:8" x14ac:dyDescent="0.3">
      <c r="G89" s="5" t="s">
        <v>117</v>
      </c>
      <c r="H89" s="5" t="s">
        <v>26</v>
      </c>
    </row>
    <row r="90" spans="7:8" x14ac:dyDescent="0.3">
      <c r="G90" s="5" t="s">
        <v>118</v>
      </c>
      <c r="H90" s="5" t="s">
        <v>26</v>
      </c>
    </row>
    <row r="91" spans="7:8" x14ac:dyDescent="0.3">
      <c r="G91" s="5" t="s">
        <v>119</v>
      </c>
      <c r="H91" s="5" t="s">
        <v>26</v>
      </c>
    </row>
    <row r="92" spans="7:8" x14ac:dyDescent="0.3">
      <c r="G92" s="5" t="s">
        <v>120</v>
      </c>
      <c r="H92" s="5" t="s">
        <v>26</v>
      </c>
    </row>
    <row r="93" spans="7:8" x14ac:dyDescent="0.3">
      <c r="G93" s="5" t="s">
        <v>121</v>
      </c>
      <c r="H93" s="5" t="s">
        <v>26</v>
      </c>
    </row>
    <row r="94" spans="7:8" x14ac:dyDescent="0.3">
      <c r="G94" s="5" t="s">
        <v>122</v>
      </c>
      <c r="H94" s="5" t="s">
        <v>26</v>
      </c>
    </row>
    <row r="95" spans="7:8" x14ac:dyDescent="0.3">
      <c r="G95" s="5" t="s">
        <v>123</v>
      </c>
      <c r="H95" s="5" t="s">
        <v>26</v>
      </c>
    </row>
    <row r="96" spans="7:8" x14ac:dyDescent="0.3">
      <c r="G96" s="5" t="s">
        <v>124</v>
      </c>
      <c r="H96" s="5" t="s">
        <v>26</v>
      </c>
    </row>
    <row r="97" spans="7:8" x14ac:dyDescent="0.3">
      <c r="G97" s="5" t="s">
        <v>125</v>
      </c>
      <c r="H97" s="5" t="s">
        <v>26</v>
      </c>
    </row>
    <row r="98" spans="7:8" x14ac:dyDescent="0.3">
      <c r="G98" s="5" t="s">
        <v>126</v>
      </c>
      <c r="H98" s="5" t="s">
        <v>197</v>
      </c>
    </row>
    <row r="99" spans="7:8" x14ac:dyDescent="0.3">
      <c r="G99" s="5" t="s">
        <v>127</v>
      </c>
      <c r="H99" s="5" t="s">
        <v>197</v>
      </c>
    </row>
    <row r="100" spans="7:8" x14ac:dyDescent="0.3">
      <c r="G100" s="5" t="s">
        <v>128</v>
      </c>
      <c r="H100" s="5" t="s">
        <v>197</v>
      </c>
    </row>
    <row r="101" spans="7:8" x14ac:dyDescent="0.3">
      <c r="G101" s="5" t="s">
        <v>129</v>
      </c>
      <c r="H101" s="5" t="s">
        <v>197</v>
      </c>
    </row>
    <row r="102" spans="7:8" x14ac:dyDescent="0.3">
      <c r="G102" s="5" t="s">
        <v>130</v>
      </c>
      <c r="H102" s="5" t="s">
        <v>197</v>
      </c>
    </row>
    <row r="103" spans="7:8" x14ac:dyDescent="0.3">
      <c r="G103" s="5" t="s">
        <v>131</v>
      </c>
      <c r="H103" s="5" t="s">
        <v>197</v>
      </c>
    </row>
    <row r="104" spans="7:8" x14ac:dyDescent="0.3">
      <c r="G104" s="5" t="s">
        <v>132</v>
      </c>
      <c r="H104" s="5" t="s">
        <v>197</v>
      </c>
    </row>
    <row r="105" spans="7:8" x14ac:dyDescent="0.3">
      <c r="G105" s="5" t="s">
        <v>133</v>
      </c>
      <c r="H105" s="5" t="s">
        <v>197</v>
      </c>
    </row>
    <row r="106" spans="7:8" x14ac:dyDescent="0.3">
      <c r="G106" s="5" t="s">
        <v>134</v>
      </c>
      <c r="H106" s="5" t="s">
        <v>197</v>
      </c>
    </row>
    <row r="107" spans="7:8" x14ac:dyDescent="0.3">
      <c r="G107" s="5" t="s">
        <v>135</v>
      </c>
      <c r="H107" s="5" t="s">
        <v>197</v>
      </c>
    </row>
    <row r="108" spans="7:8" x14ac:dyDescent="0.3">
      <c r="G108" s="5" t="s">
        <v>136</v>
      </c>
      <c r="H108" s="5" t="s">
        <v>197</v>
      </c>
    </row>
    <row r="109" spans="7:8" x14ac:dyDescent="0.3">
      <c r="G109" s="5" t="s">
        <v>137</v>
      </c>
      <c r="H109" s="5" t="s">
        <v>197</v>
      </c>
    </row>
    <row r="110" spans="7:8" x14ac:dyDescent="0.3">
      <c r="G110" s="5" t="s">
        <v>138</v>
      </c>
      <c r="H110" s="5" t="s">
        <v>197</v>
      </c>
    </row>
    <row r="111" spans="7:8" x14ac:dyDescent="0.3">
      <c r="G111" s="5" t="s">
        <v>139</v>
      </c>
      <c r="H111" s="5" t="s">
        <v>197</v>
      </c>
    </row>
    <row r="112" spans="7:8" x14ac:dyDescent="0.3">
      <c r="G112" s="5" t="s">
        <v>140</v>
      </c>
      <c r="H112" s="5" t="s">
        <v>197</v>
      </c>
    </row>
    <row r="113" spans="7:8" x14ac:dyDescent="0.3">
      <c r="G113" s="5" t="s">
        <v>141</v>
      </c>
      <c r="H113" s="5" t="s">
        <v>197</v>
      </c>
    </row>
    <row r="114" spans="7:8" x14ac:dyDescent="0.3">
      <c r="G114" s="5" t="s">
        <v>142</v>
      </c>
      <c r="H114" s="5" t="s">
        <v>197</v>
      </c>
    </row>
    <row r="115" spans="7:8" x14ac:dyDescent="0.3">
      <c r="G115" s="5" t="s">
        <v>143</v>
      </c>
      <c r="H115" s="5" t="s">
        <v>197</v>
      </c>
    </row>
    <row r="116" spans="7:8" x14ac:dyDescent="0.3">
      <c r="G116" s="5" t="s">
        <v>144</v>
      </c>
      <c r="H116" s="5" t="s">
        <v>197</v>
      </c>
    </row>
    <row r="117" spans="7:8" x14ac:dyDescent="0.3">
      <c r="G117" s="5" t="s">
        <v>145</v>
      </c>
      <c r="H117" s="5" t="s">
        <v>197</v>
      </c>
    </row>
    <row r="118" spans="7:8" x14ac:dyDescent="0.3">
      <c r="G118" s="5" t="s">
        <v>146</v>
      </c>
      <c r="H118" s="5" t="s">
        <v>29</v>
      </c>
    </row>
    <row r="119" spans="7:8" x14ac:dyDescent="0.3">
      <c r="G119" s="5" t="s">
        <v>147</v>
      </c>
      <c r="H119" s="5" t="s">
        <v>29</v>
      </c>
    </row>
    <row r="120" spans="7:8" x14ac:dyDescent="0.3">
      <c r="G120" s="5" t="s">
        <v>148</v>
      </c>
      <c r="H120" s="5" t="s">
        <v>29</v>
      </c>
    </row>
    <row r="121" spans="7:8" x14ac:dyDescent="0.3">
      <c r="G121" s="5" t="s">
        <v>149</v>
      </c>
      <c r="H121" s="5" t="s">
        <v>29</v>
      </c>
    </row>
    <row r="122" spans="7:8" x14ac:dyDescent="0.3">
      <c r="G122" s="5" t="s">
        <v>150</v>
      </c>
      <c r="H122" s="5" t="s">
        <v>29</v>
      </c>
    </row>
    <row r="123" spans="7:8" x14ac:dyDescent="0.3">
      <c r="G123" s="5" t="s">
        <v>151</v>
      </c>
      <c r="H123" s="5" t="s">
        <v>29</v>
      </c>
    </row>
    <row r="124" spans="7:8" x14ac:dyDescent="0.3">
      <c r="G124" s="5" t="s">
        <v>152</v>
      </c>
      <c r="H124" s="5" t="s">
        <v>29</v>
      </c>
    </row>
    <row r="125" spans="7:8" x14ac:dyDescent="0.3">
      <c r="G125" s="5" t="s">
        <v>153</v>
      </c>
      <c r="H125" s="5" t="s">
        <v>29</v>
      </c>
    </row>
    <row r="126" spans="7:8" x14ac:dyDescent="0.3">
      <c r="G126" s="5" t="s">
        <v>154</v>
      </c>
      <c r="H126" s="5" t="s">
        <v>29</v>
      </c>
    </row>
    <row r="127" spans="7:8" x14ac:dyDescent="0.3">
      <c r="G127" s="5" t="s">
        <v>155</v>
      </c>
      <c r="H127" s="5" t="s">
        <v>29</v>
      </c>
    </row>
    <row r="128" spans="7:8" x14ac:dyDescent="0.3">
      <c r="G128" s="5" t="s">
        <v>238</v>
      </c>
      <c r="H128" s="5" t="s">
        <v>29</v>
      </c>
    </row>
    <row r="129" spans="7:8" x14ac:dyDescent="0.3">
      <c r="G129" s="5" t="s">
        <v>156</v>
      </c>
      <c r="H129" s="5" t="s">
        <v>29</v>
      </c>
    </row>
    <row r="130" spans="7:8" x14ac:dyDescent="0.3">
      <c r="G130" s="5" t="s">
        <v>157</v>
      </c>
      <c r="H130" s="5" t="s">
        <v>29</v>
      </c>
    </row>
    <row r="131" spans="7:8" x14ac:dyDescent="0.3">
      <c r="G131" s="5" t="s">
        <v>158</v>
      </c>
      <c r="H131" s="5" t="s">
        <v>29</v>
      </c>
    </row>
    <row r="132" spans="7:8" x14ac:dyDescent="0.3">
      <c r="G132" s="5" t="s">
        <v>159</v>
      </c>
      <c r="H132" s="5" t="s">
        <v>29</v>
      </c>
    </row>
    <row r="133" spans="7:8" x14ac:dyDescent="0.3">
      <c r="G133" s="5" t="s">
        <v>160</v>
      </c>
      <c r="H133" s="5" t="s">
        <v>29</v>
      </c>
    </row>
    <row r="134" spans="7:8" x14ac:dyDescent="0.3">
      <c r="G134" s="5" t="s">
        <v>161</v>
      </c>
      <c r="H134" s="5" t="s">
        <v>29</v>
      </c>
    </row>
    <row r="135" spans="7:8" x14ac:dyDescent="0.3">
      <c r="G135" s="5" t="s">
        <v>162</v>
      </c>
      <c r="H135" s="5" t="s">
        <v>29</v>
      </c>
    </row>
    <row r="136" spans="7:8" x14ac:dyDescent="0.3">
      <c r="G136" s="5" t="s">
        <v>163</v>
      </c>
      <c r="H136" s="5" t="s">
        <v>29</v>
      </c>
    </row>
    <row r="137" spans="7:8" x14ac:dyDescent="0.3">
      <c r="G137" s="5" t="s">
        <v>164</v>
      </c>
      <c r="H137" s="5" t="s">
        <v>29</v>
      </c>
    </row>
    <row r="138" spans="7:8" x14ac:dyDescent="0.3">
      <c r="G138" s="5" t="s">
        <v>165</v>
      </c>
      <c r="H138" s="5" t="s">
        <v>29</v>
      </c>
    </row>
    <row r="139" spans="7:8" x14ac:dyDescent="0.3">
      <c r="G139" s="5" t="s">
        <v>166</v>
      </c>
      <c r="H139" s="5" t="s">
        <v>29</v>
      </c>
    </row>
    <row r="140" spans="7:8" x14ac:dyDescent="0.3">
      <c r="G140" s="5" t="s">
        <v>167</v>
      </c>
      <c r="H140" s="5" t="s">
        <v>29</v>
      </c>
    </row>
    <row r="141" spans="7:8" x14ac:dyDescent="0.3">
      <c r="G141" s="5" t="s">
        <v>168</v>
      </c>
      <c r="H141" s="5" t="s">
        <v>29</v>
      </c>
    </row>
    <row r="142" spans="7:8" x14ac:dyDescent="0.3">
      <c r="G142" s="5" t="s">
        <v>169</v>
      </c>
      <c r="H142" s="5" t="s">
        <v>27</v>
      </c>
    </row>
    <row r="143" spans="7:8" x14ac:dyDescent="0.3">
      <c r="G143" s="5" t="s">
        <v>170</v>
      </c>
      <c r="H143" s="5" t="s">
        <v>27</v>
      </c>
    </row>
    <row r="144" spans="7:8" x14ac:dyDescent="0.3">
      <c r="G144" s="5" t="s">
        <v>171</v>
      </c>
      <c r="H144" s="5" t="s">
        <v>27</v>
      </c>
    </row>
    <row r="145" spans="7:8" x14ac:dyDescent="0.3">
      <c r="G145" s="5" t="s">
        <v>172</v>
      </c>
      <c r="H145" s="5" t="s">
        <v>27</v>
      </c>
    </row>
    <row r="146" spans="7:8" x14ac:dyDescent="0.3">
      <c r="G146" s="5" t="s">
        <v>173</v>
      </c>
      <c r="H146" s="5" t="s">
        <v>27</v>
      </c>
    </row>
    <row r="147" spans="7:8" x14ac:dyDescent="0.3">
      <c r="G147" s="5" t="s">
        <v>174</v>
      </c>
      <c r="H147" s="5" t="s">
        <v>27</v>
      </c>
    </row>
    <row r="148" spans="7:8" x14ac:dyDescent="0.3">
      <c r="G148" s="5" t="s">
        <v>175</v>
      </c>
      <c r="H148" s="5" t="s">
        <v>27</v>
      </c>
    </row>
    <row r="149" spans="7:8" x14ac:dyDescent="0.3">
      <c r="G149" s="5" t="s">
        <v>176</v>
      </c>
      <c r="H149" s="5" t="s">
        <v>27</v>
      </c>
    </row>
    <row r="150" spans="7:8" x14ac:dyDescent="0.3">
      <c r="G150" s="5" t="s">
        <v>177</v>
      </c>
      <c r="H150" s="5" t="s">
        <v>27</v>
      </c>
    </row>
    <row r="151" spans="7:8" x14ac:dyDescent="0.3">
      <c r="G151" s="5" t="s">
        <v>178</v>
      </c>
      <c r="H151" s="5" t="s">
        <v>27</v>
      </c>
    </row>
    <row r="152" spans="7:8" x14ac:dyDescent="0.3">
      <c r="G152" s="5" t="s">
        <v>179</v>
      </c>
      <c r="H152" s="5" t="s">
        <v>27</v>
      </c>
    </row>
    <row r="153" spans="7:8" x14ac:dyDescent="0.3">
      <c r="G153" s="5" t="s">
        <v>180</v>
      </c>
      <c r="H153" s="5" t="s">
        <v>27</v>
      </c>
    </row>
    <row r="154" spans="7:8" x14ac:dyDescent="0.3">
      <c r="G154" s="5" t="s">
        <v>237</v>
      </c>
      <c r="H154" s="5" t="s">
        <v>27</v>
      </c>
    </row>
    <row r="155" spans="7:8" x14ac:dyDescent="0.3">
      <c r="G155" s="5" t="s">
        <v>181</v>
      </c>
      <c r="H155" s="5" t="s">
        <v>27</v>
      </c>
    </row>
    <row r="156" spans="7:8" x14ac:dyDescent="0.3">
      <c r="G156" s="5" t="s">
        <v>182</v>
      </c>
      <c r="H156" s="5" t="s">
        <v>27</v>
      </c>
    </row>
    <row r="157" spans="7:8" x14ac:dyDescent="0.3">
      <c r="G157" s="5" t="s">
        <v>183</v>
      </c>
      <c r="H157" s="5" t="s">
        <v>27</v>
      </c>
    </row>
    <row r="158" spans="7:8" x14ac:dyDescent="0.3">
      <c r="G158" s="5" t="s">
        <v>184</v>
      </c>
      <c r="H158" s="5" t="s">
        <v>27</v>
      </c>
    </row>
    <row r="159" spans="7:8" x14ac:dyDescent="0.3">
      <c r="G159" s="5" t="s">
        <v>185</v>
      </c>
      <c r="H159" s="5" t="s">
        <v>27</v>
      </c>
    </row>
    <row r="160" spans="7:8" x14ac:dyDescent="0.3">
      <c r="G160" s="5" t="s">
        <v>186</v>
      </c>
      <c r="H160" s="5" t="s">
        <v>27</v>
      </c>
    </row>
    <row r="161" spans="7:8" x14ac:dyDescent="0.3">
      <c r="G161" s="5" t="s">
        <v>187</v>
      </c>
      <c r="H161" s="5" t="s">
        <v>27</v>
      </c>
    </row>
    <row r="162" spans="7:8" x14ac:dyDescent="0.3">
      <c r="G162" s="5" t="s">
        <v>188</v>
      </c>
      <c r="H162" s="5" t="s">
        <v>27</v>
      </c>
    </row>
    <row r="163" spans="7:8" x14ac:dyDescent="0.3">
      <c r="G163" s="5" t="s">
        <v>189</v>
      </c>
      <c r="H163" s="5" t="s">
        <v>27</v>
      </c>
    </row>
    <row r="164" spans="7:8" x14ac:dyDescent="0.3">
      <c r="G164" s="5" t="s">
        <v>190</v>
      </c>
      <c r="H164" s="5" t="s">
        <v>27</v>
      </c>
    </row>
    <row r="165" spans="7:8" x14ac:dyDescent="0.3">
      <c r="G165" s="5" t="s">
        <v>191</v>
      </c>
      <c r="H165" s="5" t="s">
        <v>27</v>
      </c>
    </row>
    <row r="166" spans="7:8" x14ac:dyDescent="0.3">
      <c r="G166" s="5" t="s">
        <v>192</v>
      </c>
      <c r="H166" s="5" t="s">
        <v>27</v>
      </c>
    </row>
    <row r="167" spans="7:8" x14ac:dyDescent="0.3">
      <c r="G167" s="5" t="s">
        <v>193</v>
      </c>
      <c r="H167" s="5" t="s">
        <v>27</v>
      </c>
    </row>
    <row r="168" spans="7:8" x14ac:dyDescent="0.3">
      <c r="G168" s="5" t="s">
        <v>194</v>
      </c>
      <c r="H168" s="5" t="s">
        <v>27</v>
      </c>
    </row>
    <row r="169" spans="7:8" x14ac:dyDescent="0.3">
      <c r="G169" s="5" t="s">
        <v>195</v>
      </c>
      <c r="H169" s="5" t="s">
        <v>27</v>
      </c>
    </row>
    <row r="170" spans="7:8" x14ac:dyDescent="0.3">
      <c r="G170" s="5" t="s">
        <v>196</v>
      </c>
      <c r="H170" s="5" t="s">
        <v>27</v>
      </c>
    </row>
    <row r="171" spans="7:8" x14ac:dyDescent="0.3">
      <c r="G171" s="5" t="s">
        <v>198</v>
      </c>
      <c r="H171" s="5" t="s">
        <v>28</v>
      </c>
    </row>
    <row r="172" spans="7:8" x14ac:dyDescent="0.3">
      <c r="G172" s="5" t="s">
        <v>199</v>
      </c>
      <c r="H172" s="5" t="s">
        <v>28</v>
      </c>
    </row>
    <row r="173" spans="7:8" x14ac:dyDescent="0.3">
      <c r="G173" s="5" t="s">
        <v>200</v>
      </c>
      <c r="H173" s="5" t="s">
        <v>28</v>
      </c>
    </row>
    <row r="174" spans="7:8" x14ac:dyDescent="0.3">
      <c r="G174" s="5" t="s">
        <v>201</v>
      </c>
      <c r="H174" s="5" t="s">
        <v>28</v>
      </c>
    </row>
    <row r="175" spans="7:8" x14ac:dyDescent="0.3">
      <c r="G175" s="5" t="s">
        <v>202</v>
      </c>
      <c r="H175" s="5" t="s">
        <v>28</v>
      </c>
    </row>
    <row r="176" spans="7:8" x14ac:dyDescent="0.3">
      <c r="G176" s="5" t="s">
        <v>203</v>
      </c>
      <c r="H176" s="5" t="s">
        <v>28</v>
      </c>
    </row>
    <row r="177" spans="7:8" x14ac:dyDescent="0.3">
      <c r="G177" s="5" t="s">
        <v>204</v>
      </c>
      <c r="H177" s="5" t="s">
        <v>28</v>
      </c>
    </row>
    <row r="178" spans="7:8" x14ac:dyDescent="0.3">
      <c r="G178" s="5" t="s">
        <v>205</v>
      </c>
      <c r="H178" s="5" t="s">
        <v>28</v>
      </c>
    </row>
    <row r="179" spans="7:8" x14ac:dyDescent="0.3">
      <c r="G179" s="5" t="s">
        <v>206</v>
      </c>
      <c r="H179" s="5" t="s">
        <v>28</v>
      </c>
    </row>
    <row r="180" spans="7:8" x14ac:dyDescent="0.3">
      <c r="G180" s="5" t="s">
        <v>207</v>
      </c>
      <c r="H180" s="5" t="s">
        <v>28</v>
      </c>
    </row>
    <row r="181" spans="7:8" x14ac:dyDescent="0.3">
      <c r="G181" s="5" t="s">
        <v>25</v>
      </c>
      <c r="H181" s="5" t="s">
        <v>210</v>
      </c>
    </row>
    <row r="182" spans="7:8" x14ac:dyDescent="0.3">
      <c r="G182" s="5" t="s">
        <v>209</v>
      </c>
      <c r="H182" s="5" t="s">
        <v>210</v>
      </c>
    </row>
    <row r="183" spans="7:8" x14ac:dyDescent="0.3">
      <c r="G183" s="5" t="s">
        <v>208</v>
      </c>
      <c r="H183" s="5" t="s">
        <v>210</v>
      </c>
    </row>
    <row r="184" spans="7:8" x14ac:dyDescent="0.3">
      <c r="G184" s="5" t="s">
        <v>211</v>
      </c>
      <c r="H184" s="5" t="s">
        <v>210</v>
      </c>
    </row>
    <row r="185" spans="7:8" x14ac:dyDescent="0.3">
      <c r="G185" s="5" t="s">
        <v>212</v>
      </c>
      <c r="H185" s="5" t="s">
        <v>210</v>
      </c>
    </row>
    <row r="186" spans="7:8" x14ac:dyDescent="0.3">
      <c r="G186" s="5" t="s">
        <v>213</v>
      </c>
      <c r="H186" s="5" t="s">
        <v>210</v>
      </c>
    </row>
    <row r="187" spans="7:8" x14ac:dyDescent="0.3">
      <c r="G187" s="5" t="s">
        <v>214</v>
      </c>
      <c r="H187" s="5" t="s">
        <v>210</v>
      </c>
    </row>
    <row r="188" spans="7:8" x14ac:dyDescent="0.3">
      <c r="G188" s="5" t="s">
        <v>215</v>
      </c>
      <c r="H188" s="5" t="s">
        <v>210</v>
      </c>
    </row>
    <row r="189" spans="7:8" x14ac:dyDescent="0.3">
      <c r="G189" s="5" t="s">
        <v>216</v>
      </c>
      <c r="H189" s="5" t="s">
        <v>210</v>
      </c>
    </row>
    <row r="190" spans="7:8" x14ac:dyDescent="0.3">
      <c r="G190" s="5" t="s">
        <v>217</v>
      </c>
      <c r="H190" s="5" t="s">
        <v>210</v>
      </c>
    </row>
    <row r="191" spans="7:8" x14ac:dyDescent="0.3">
      <c r="G191" s="5" t="s">
        <v>218</v>
      </c>
      <c r="H191" s="5" t="s">
        <v>210</v>
      </c>
    </row>
    <row r="192" spans="7:8" x14ac:dyDescent="0.3">
      <c r="G192" s="5" t="s">
        <v>219</v>
      </c>
      <c r="H192" s="5" t="s">
        <v>210</v>
      </c>
    </row>
    <row r="193" spans="7:8" x14ac:dyDescent="0.3">
      <c r="G193" s="5" t="s">
        <v>220</v>
      </c>
      <c r="H193" s="5" t="s">
        <v>210</v>
      </c>
    </row>
    <row r="194" spans="7:8" x14ac:dyDescent="0.3">
      <c r="G194" s="5" t="s">
        <v>219</v>
      </c>
      <c r="H194" s="5" t="s">
        <v>210</v>
      </c>
    </row>
    <row r="195" spans="7:8" x14ac:dyDescent="0.3">
      <c r="G195" s="5" t="s">
        <v>221</v>
      </c>
      <c r="H195" s="5" t="s">
        <v>210</v>
      </c>
    </row>
    <row r="196" spans="7:8" x14ac:dyDescent="0.3">
      <c r="G196" s="5" t="s">
        <v>219</v>
      </c>
      <c r="H196" s="5" t="s">
        <v>210</v>
      </c>
    </row>
    <row r="197" spans="7:8" x14ac:dyDescent="0.3">
      <c r="G197" s="5" t="s">
        <v>222</v>
      </c>
      <c r="H197" s="5" t="s">
        <v>210</v>
      </c>
    </row>
    <row r="198" spans="7:8" x14ac:dyDescent="0.3">
      <c r="G198" s="5" t="s">
        <v>223</v>
      </c>
      <c r="H198" s="5" t="s">
        <v>210</v>
      </c>
    </row>
  </sheetData>
  <sheetProtection sheet="1" objects="1" scenarios="1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6</vt:i4>
      </vt:variant>
    </vt:vector>
  </HeadingPairs>
  <TitlesOfParts>
    <vt:vector size="9" baseType="lpstr">
      <vt:lpstr>Planilha Cenários</vt:lpstr>
      <vt:lpstr>Monte Sua Carteira</vt:lpstr>
      <vt:lpstr>Planilha de Apoio</vt:lpstr>
      <vt:lpstr>Aporte</vt:lpstr>
      <vt:lpstr>patrim_acum</vt:lpstr>
      <vt:lpstr>prazo_investimento</vt:lpstr>
      <vt:lpstr>rentabilidade</vt:lpstr>
      <vt:lpstr>Salario</vt:lpstr>
      <vt:lpstr>Sugest_invest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Morais Fonseca</dc:creator>
  <cp:lastModifiedBy>André Morais Fonseca</cp:lastModifiedBy>
  <dcterms:created xsi:type="dcterms:W3CDTF">2015-06-05T18:19:34Z</dcterms:created>
  <dcterms:modified xsi:type="dcterms:W3CDTF">2026-10-14T21:06:21Z</dcterms:modified>
</cp:coreProperties>
</file>